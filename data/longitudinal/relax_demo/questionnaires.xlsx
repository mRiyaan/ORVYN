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/>
  <mc:AlternateContent xmlns:mc="http://schemas.openxmlformats.org/markup-compatibility/2006">
    <mc:Choice Requires="x15">
      <x15ac:absPath xmlns:x15ac="http://schemas.microsoft.com/office/spreadsheetml/2010/11/ac" url="/Users/chalmich/Downloads/RELAXDataset/metadata/"/>
    </mc:Choice>
  </mc:AlternateContent>
  <xr:revisionPtr revIDLastSave="0" documentId="13_ncr:1_{3F1E2663-7E6A-A74B-BA40-AFD3104F05FA}" xr6:coauthVersionLast="47" xr6:coauthVersionMax="47" xr10:uidLastSave="{00000000-0000-0000-0000-000000000000}"/>
  <bookViews>
    <workbookView xWindow="4360" yWindow="660" windowWidth="30200" windowHeight="21680" activeTab="3" xr2:uid="{00000000-000D-0000-FFFF-FFFF00000000}"/>
  </bookViews>
  <sheets>
    <sheet name="afb" sheetId="1" r:id="rId1"/>
    <sheet name="ifb" sheetId="2" r:id="rId2"/>
    <sheet name="mfb" sheetId="3" r:id="rId3"/>
    <sheet name="profile1" sheetId="4" r:id="rId4"/>
    <sheet name="profile2" sheetId="5" r:id="rId5"/>
    <sheet name="profile3" sheetId="6" r:id="rId6"/>
    <sheet name="profile4" sheetId="7" r:id="rId7"/>
    <sheet name="profile5" sheetId="8" r:id="rId8"/>
    <sheet name="profile6" sheetId="9" r:id="rId9"/>
    <sheet name="profile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E4" i="10"/>
  <c r="F3" i="10"/>
  <c r="E3" i="10"/>
  <c r="F2" i="10"/>
  <c r="E2" i="10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2" i="6"/>
  <c r="E2" i="6"/>
  <c r="F7" i="5"/>
  <c r="E7" i="5"/>
  <c r="F6" i="5"/>
  <c r="E6" i="5"/>
  <c r="F5" i="5"/>
  <c r="E5" i="5"/>
  <c r="F4" i="5"/>
  <c r="E4" i="5"/>
  <c r="F3" i="5"/>
  <c r="E3" i="5"/>
  <c r="F2" i="5"/>
  <c r="E2" i="5"/>
  <c r="F6" i="4"/>
  <c r="E6" i="4"/>
  <c r="F5" i="4"/>
  <c r="E5" i="4"/>
  <c r="F4" i="4"/>
  <c r="E4" i="4"/>
  <c r="F3" i="4"/>
  <c r="E3" i="4"/>
  <c r="F2" i="4"/>
  <c r="E2" i="4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E4" i="2"/>
  <c r="F3" i="2"/>
  <c r="E3" i="2"/>
  <c r="F2" i="2"/>
  <c r="E2" i="2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<sst xmlns="http://schemas.openxmlformats.org/spreadsheetml/2006/main" count="1206" uniqueCount="525">
  <si>
    <t>question_id</t>
  </si>
  <si>
    <t>question_text</t>
  </si>
  <si>
    <t>answer_type</t>
  </si>
  <si>
    <t>answer_labels</t>
  </si>
  <si>
    <t>answer_text_en</t>
  </si>
  <si>
    <t>answer_labels_en</t>
  </si>
  <si>
    <t>afb-1</t>
  </si>
  <si>
    <t>Meine Stimmung über den Tag hin war insgesamt:</t>
  </si>
  <si>
    <t>likert-7</t>
  </si>
  <si>
    <t>['negativ', 'positiv']</t>
  </si>
  <si>
    <t>afb-2</t>
  </si>
  <si>
    <t>Ich fühlte mich insgesamt über den Tag:</t>
  </si>
  <si>
    <t>['aufgeregt', 'ruhig']</t>
  </si>
  <si>
    <t>afb-3</t>
  </si>
  <si>
    <t>Ich fühlte mich heute insgesamt:</t>
  </si>
  <si>
    <t>['eher glücklich', 'eher unglücklich']</t>
  </si>
  <si>
    <t>afb-4</t>
  </si>
  <si>
    <t>War heute ein Arbeitstag?</t>
  </si>
  <si>
    <t>single</t>
  </si>
  <si>
    <t>['Ja', 'Nein']</t>
  </si>
  <si>
    <t>['Yes', 'No']</t>
  </si>
  <si>
    <t>afb-5</t>
  </si>
  <si>
    <t>Ich habe heute vermehrt gemacht:</t>
  </si>
  <si>
    <t>['Routineaufgaben', 'außergewöhnliche Aufgaben']</t>
  </si>
  <si>
    <t>afb-6</t>
  </si>
  <si>
    <t>In meiner Freizeit habe ich heute vermehrt gemacht:</t>
  </si>
  <si>
    <t>['Pflichten', 'Freizeit']</t>
  </si>
  <si>
    <t>afb-7</t>
  </si>
  <si>
    <t>Meine körperliche Anstrengung war heute insgesamt:</t>
  </si>
  <si>
    <t>['niedrig', 'hoch']</t>
  </si>
  <si>
    <t>Meine geistige Anstrengung war heute insgesamt:</t>
  </si>
  <si>
    <t>afb-8</t>
  </si>
  <si>
    <t>Mir fehlte insgesamt heute ein Gefühl von Zufriedenheit:</t>
  </si>
  <si>
    <t>['stimme voll und ganz zu', 'stimme ganz und gar nicht zu']</t>
  </si>
  <si>
    <t>afb-9</t>
  </si>
  <si>
    <t>Ich fühlte mich heute insgesamt überfordert:</t>
  </si>
  <si>
    <t>afb-10</t>
  </si>
  <si>
    <t>Ich hatte heute keine Kontrolle über das, was geschah:</t>
  </si>
  <si>
    <t>afb-11</t>
  </si>
  <si>
    <t>Heute gelang es mir nicht mich zu entspannen:</t>
  </si>
  <si>
    <t>afb-12</t>
  </si>
  <si>
    <t>Ich hatte heute insgesamt eine düstere und negative Stimmung:</t>
  </si>
  <si>
    <t>ifb-1</t>
  </si>
  <si>
    <t>Meine aktuelle Stimmung ist:</t>
  </si>
  <si>
    <t>ifb-2</t>
  </si>
  <si>
    <t>Ich fühle mich:</t>
  </si>
  <si>
    <t>ifb-3</t>
  </si>
  <si>
    <t>Ist gerade Arbeitszeit?</t>
  </si>
  <si>
    <t>ifb-4</t>
  </si>
  <si>
    <t>Ich mache gerade:</t>
  </si>
  <si>
    <t>ifb-5</t>
  </si>
  <si>
    <t>ifb-6</t>
  </si>
  <si>
    <t>Meine körperliche Anstrengung ist:</t>
  </si>
  <si>
    <t>ifb-7</t>
  </si>
  <si>
    <t>Meine geistige Anstrengung ist:</t>
  </si>
  <si>
    <t>ifb-8</t>
  </si>
  <si>
    <t>Ich bin:</t>
  </si>
  <si>
    <t>['Allein', 'im beiläufigen Kontakt mit anderen', 'im engen Kontakt mit anderen']</t>
  </si>
  <si>
    <t>ifb-9</t>
  </si>
  <si>
    <t>Kommentar:</t>
  </si>
  <si>
    <t>text</t>
  </si>
  <si>
    <t>['text']</t>
  </si>
  <si>
    <t>ifb-10</t>
  </si>
  <si>
    <t>Erinnere Dich an ein besonderes Stressereignis seit der letzten Aufzeichnung. Zeitpunkt:</t>
  </si>
  <si>
    <t>['time']</t>
  </si>
  <si>
    <t>ifb-11</t>
  </si>
  <si>
    <t>Meine aktuelle Stimmung war:</t>
  </si>
  <si>
    <t>ifb-12</t>
  </si>
  <si>
    <t>Ich fühlte mich:</t>
  </si>
  <si>
    <t>ifb-13</t>
  </si>
  <si>
    <t>Meine körperliche Anstrengung war:</t>
  </si>
  <si>
    <t>ifb-14</t>
  </si>
  <si>
    <t>Meine geistige Anstrengung war:</t>
  </si>
  <si>
    <t>mfb-1</t>
  </si>
  <si>
    <t>mfb-2</t>
  </si>
  <si>
    <t>mfb-3</t>
  </si>
  <si>
    <t>Ich erwarte für den heutigen Tag:</t>
  </si>
  <si>
    <t>['gar keinen Stress', 'viel Stress']</t>
  </si>
  <si>
    <t>mfb-4</t>
  </si>
  <si>
    <t>Mein Schlaf war:</t>
  </si>
  <si>
    <t>['gar nicht erholsam', 'sehr erholsam']</t>
  </si>
  <si>
    <t>mfb-5</t>
  </si>
  <si>
    <t>Ich bin nachts aufgewacht:</t>
  </si>
  <si>
    <t>['gar nicht / weiß nicht', 'ja']</t>
  </si>
  <si>
    <t>mfb-6</t>
  </si>
  <si>
    <t>Geschätzt:</t>
  </si>
  <si>
    <t>['number']</t>
  </si>
  <si>
    <t>mfb-7</t>
  </si>
  <si>
    <t>Für ca.:</t>
  </si>
  <si>
    <t>profile1-1</t>
  </si>
  <si>
    <t>Ich bin...</t>
  </si>
  <si>
    <t>multiple</t>
  </si>
  <si>
    <t>['... alleinstehend', '... in Partnerschaft', '... Elternteil']</t>
  </si>
  <si>
    <t>profile1-2</t>
  </si>
  <si>
    <t>Ich lebe...</t>
  </si>
  <si>
    <t>['... ländlich in belebter Umgebung', '... ländlich in ruhiger Umgebung', '... in einem belebten Stadtteil', '... in einem ruhigen Stadtteill']</t>
  </si>
  <si>
    <t>profile1-3</t>
  </si>
  <si>
    <t>['... zufrieden mit meine derzeitigen Familien-/Beziehungssituation', '... zufrieden mit meinen Freundschaften außerhalb der Familie/Beziehung', '... zufrieden mit meiner derzeitigen Wohnsituation']</t>
  </si>
  <si>
    <t>profile1-4</t>
  </si>
  <si>
    <t>Für meine Arbeitswege nutze ich...</t>
  </si>
  <si>
    <t>['... das Fahrrad oder E-Scooter', '... die öffentlichen Verkehrsmittel', '... das Auto oder Motorrad/Roller', '... kein Fahrzeug, ich gehe zu Fuß']</t>
  </si>
  <si>
    <t>profile1-5</t>
  </si>
  <si>
    <t>Meine höchste abgeschlossene Ausbildung ist:</t>
  </si>
  <si>
    <t>['Keine', 'Pflichtschule', 'Lehre/Fachschule', 'Abitur/Fachabitur/Matura', 'Meisterprüfung', 'Gradualer Hochschulabschluss/Bachelor', 'Postgradualer Hochschulabschluss/Master', 'Höher (ab Doktorat)']</t>
  </si>
  <si>
    <t>profile2-1</t>
  </si>
  <si>
    <t>Zu welcher Branche gehört Ihr Beruf?</t>
  </si>
  <si>
    <t>['Industrie', 'Landwirtschaft', 'Dienstleistung', 'Bau', 'Chemie, Metall und Rohstoff', 'Handel', 'Finanzen, Versicherungen und Immobilien', 'Tourismus, Gastronomie und Freizeit', 'Medien', 'Gesundheit', 'Gesellschaft, Sport und Kultur', 'Energie und Umwelt', 'Politik']</t>
  </si>
  <si>
    <t>profile2-2</t>
  </si>
  <si>
    <t>Ich bin im Allgemeinen zufrieden mit meiner derzeitigen beruflichen Situation.</t>
  </si>
  <si>
    <t>likert-5</t>
  </si>
  <si>
    <t>['trifft gar nicht zu', 'trifft voll und ganz zu']</t>
  </si>
  <si>
    <t>profile2-3</t>
  </si>
  <si>
    <t>Folgende Aussagen treffen auf meine allgemeinen Arbeitsbedingungen zu:</t>
  </si>
  <si>
    <t>['Ich übe eine Führungsaufgabe aus.', 'Ich habe Kundenkontakt.', 'Ich übe meinen Beruf drinnen (indoor) aus.', 'Ich übe meinen Beruf draußen (outdoor) aus.', 'Ich übe meinen Beruf im Home Office aus.']</t>
  </si>
  <si>
    <t>profile2-4</t>
  </si>
  <si>
    <t>Folgende Aussagen treffen auf meine speziellen Arbeitsbedingungen zu:</t>
  </si>
  <si>
    <t>['Schichtdienst', 'Regelmäßige Überstunden', 'Mehrfachbeschäftigung', 'Befristung', 'Ausbildungssituation', 'Teilzeitbeschäftigung', 'Körperlich belastende Arbeit']</t>
  </si>
  <si>
    <t>profile2-5</t>
  </si>
  <si>
    <t>Ich nutze Computer-Technologie im Beruf.</t>
  </si>
  <si>
    <t>['nie', 'häufig']</t>
  </si>
  <si>
    <t>Ich nutze Computer-Technologie im Alltag.</t>
  </si>
  <si>
    <t>profile3-1</t>
  </si>
  <si>
    <t>Ich gerate in Stress, wenn ich zu viel Arbeit habe und unter Zeitdruck stehe.</t>
  </si>
  <si>
    <t>['kommt in meinem Alltag gar nicht vor', 'kommt in meinem Alltag sehr häufig vor']</t>
  </si>
  <si>
    <t>profile3-2</t>
  </si>
  <si>
    <t>Ich gerate in Stress, wenn ich eine hohe Verantwortung zu tragen habe.</t>
  </si>
  <si>
    <t>profile3-3</t>
  </si>
  <si>
    <t>Ich gerate in Stress, wenn ich immer dieselben Arbeitsaufgaben habe.</t>
  </si>
  <si>
    <t>profile3-4</t>
  </si>
  <si>
    <t>Ich gerate in Stress, wenn ich zu wenig Unterstützung bekomme, weil wir nicht ausreichend Personal haben.</t>
  </si>
  <si>
    <t>profile3-5</t>
  </si>
  <si>
    <t>Ich gerate in Stress, wenn Zuständigkeiten und Verantwortlichkeiten nicht klar geregelt sind.</t>
  </si>
  <si>
    <t>profile3-6</t>
  </si>
  <si>
    <t>Ich gerate in Stress, wenn ich widersprüchliche Anweisungen bekomme von einer oder mehreren Stellen.</t>
  </si>
  <si>
    <t>profile3-7</t>
  </si>
  <si>
    <t>Ich gerate in Stress, wenn ich meine Arbeit nicht selbstständig planen oder ausführen kann.</t>
  </si>
  <si>
    <t>profile3-8</t>
  </si>
  <si>
    <t>Ich gerate in Stress, wenn ich bestimmte Arbeitsschritte nicht sinnvoll oder zu kompliziert gestaltet finde.</t>
  </si>
  <si>
    <t>profile3-9</t>
  </si>
  <si>
    <t>Ich gerate in Stress, wenn ich in meiner Arbeit von anderen Personen abhängig bin.</t>
  </si>
  <si>
    <t>profile3-10</t>
  </si>
  <si>
    <t>Ich gerate in Stress, wenn mir benötigte Informationen zur Erledigung meiner Arbeit nicht zur Verfügung stehen.</t>
  </si>
  <si>
    <t>profile3-11</t>
  </si>
  <si>
    <t>Ich gerate in Stress, wenn ich bei meiner eigentlichen Arbeit immer wieder unterbrochen werde.</t>
  </si>
  <si>
    <t>profile3-12</t>
  </si>
  <si>
    <t>Ich gerate in Stress, wenn ich über zu viele Kommunikationsmedien und Kanäle kontaktiert werde (Telefon, Mobiltelefon, digitale Medien (Email, Teams-, Skype usw.).</t>
  </si>
  <si>
    <t>profile3-13</t>
  </si>
  <si>
    <t>Ich gerate in Stress, wenn sich mich meine Führungskraft an den wesentlichen Fragen meine Arbeit betreffend nicht beteiligt.</t>
  </si>
  <si>
    <t>profile3-14</t>
  </si>
  <si>
    <t>Ich gerate in Stress, wenn ich von Vorgesetzten keine Rückmeldung zur Qualität meiner Arbeit bekomme.</t>
  </si>
  <si>
    <t>profile3-15</t>
  </si>
  <si>
    <t>Ich gerate in Stress, wenn ich Differenzen und Konflikte mit meiner Führungskraft habe.</t>
  </si>
  <si>
    <t>profile3-16</t>
  </si>
  <si>
    <t>Ich gerate in Stress, wenn ich keinen Rückhalt oder keine Anerkennung von meiner Führungskraft bekomme.</t>
  </si>
  <si>
    <t>profile3-17</t>
  </si>
  <si>
    <t>Ich gerate in Stress, wenn meine Führungskraft mich übermäßig kontrolliert.</t>
  </si>
  <si>
    <t>profile3-18</t>
  </si>
  <si>
    <t>Ich gerate in Stress, wenn meine Führungskraft zu wenig Zeit hat (für Austausch, Entscheidungen, usw.).</t>
  </si>
  <si>
    <t>profile3-19</t>
  </si>
  <si>
    <t>Ich gerate in Stress, wenn es im Zuge des Arbeitsprozesses interne oder externe Schnittstellenprobleme gibt.</t>
  </si>
  <si>
    <t>profile3-20</t>
  </si>
  <si>
    <t>Ich gerate in Stress, wenn ich von Kolleg:innen keine Unterstützung und keinen Rückhalt bekomme.</t>
  </si>
  <si>
    <t>profile3-21</t>
  </si>
  <si>
    <t>Ich gerate in Stress, wenn zu wenig Austauschmöglichkeit mit Kollegen gegeben ist.</t>
  </si>
  <si>
    <t>profile3-22</t>
  </si>
  <si>
    <t>Ich gerate in Stress, wenn ich Differenzen und Konflikte mit meinen Kollegen oder anderen Abteilungen habe.</t>
  </si>
  <si>
    <t>profile3-23</t>
  </si>
  <si>
    <t>Ich gerate in Stress, wenn ich mit Diskriminierung (Kultur, Religion, Gender, usw.) oder Spannungen (Alters-, Geschlechts-, Kulturunterschiede, politische Sichtweisen) konfrontiert werde.</t>
  </si>
  <si>
    <t>profile3-24</t>
  </si>
  <si>
    <t>Ich gerate in Stress, wenn ich Vorschläge und Ideen nicht einbringen kann, oder diese nicht gehört und berücksichtigt werden.</t>
  </si>
  <si>
    <t>profile3-25</t>
  </si>
  <si>
    <t>Ich gerate in Stress, wenn mir benötigte Arbeitsmittel nicht zur Verfügung stehen oder es Probleme damit gibt (zB. Software, Werkzeug; unzureichende Sicherheitsstandards, etc.).</t>
  </si>
  <si>
    <t>profile3-26</t>
  </si>
  <si>
    <t>Ich gerate in Stress, wenn mich meine Arbeitsbedingungen durch übermäßige/n Lärm, Hitze, Kälte, Nässe beeinträchtigen.</t>
  </si>
  <si>
    <t>profile3-27</t>
  </si>
  <si>
    <t>Ich gerate in Stress, wenn ich bei der Arbeit Angst vor Verletzungen, Unfällen oder sonstigen körperlichen Gefahren haben muss.</t>
  </si>
  <si>
    <t>profile3-28</t>
  </si>
  <si>
    <t>Ich gerate in Stress, wenn keine ausreichende Balance zwischen Arbeit und Freizeit gegeben ist (zB. ständige Erreichbarkeit).</t>
  </si>
  <si>
    <t>profile3-29</t>
  </si>
  <si>
    <t>Ich gerate in Stress, wenn ich keine ausreichenden Pausen habe.</t>
  </si>
  <si>
    <t>profile3-30</t>
  </si>
  <si>
    <t>Ich gerate in Stress, wenn ich bestimmte Entscheidungen für nicht sinnvoll finde oder ich diese nicht mit meinen Werten teilen kann.</t>
  </si>
  <si>
    <t>profile3-31</t>
  </si>
  <si>
    <t>Ich gerate in Stress, wenn ich mir Sorgen um meinen Arbeitsplatz machen muss (Kündigungen, Personalabbau, Standortsicherheit, usw.).</t>
  </si>
  <si>
    <t>profile3-32</t>
  </si>
  <si>
    <t>Ich gerate in Stress, wenn mir meine Arbeit immer weniger Freude und Zufriedenheit bereitet.</t>
  </si>
  <si>
    <t>profile3-33</t>
  </si>
  <si>
    <t>Ich gerate in Stress, wenn ich mein Wissen und Können nicht gefordert sehe.</t>
  </si>
  <si>
    <t>profile3-34</t>
  </si>
  <si>
    <t>Ich gerate in Stress, wenn ich keine Möglichkeiten habe, mich weiterzubilden.</t>
  </si>
  <si>
    <t>profile3-35</t>
  </si>
  <si>
    <t>Ich gerate in Stress, wenn sich mir keine Aufstiegschancen bieten.</t>
  </si>
  <si>
    <t>profile3-36</t>
  </si>
  <si>
    <t>Ich gerate in Stress, wenn ich in einer Reihe (z.B. Kaufhaus) anstehen muss.</t>
  </si>
  <si>
    <t>profile3-37</t>
  </si>
  <si>
    <t>Ich gerate in Stress, wenn ich etwas vergesse / verliere / verlege.</t>
  </si>
  <si>
    <t>profile3-38</t>
  </si>
  <si>
    <t>Ich gerate in Stress, wenn im Vergleich mit Anderen schlecht(er) aussteige.</t>
  </si>
  <si>
    <t>profile3-39</t>
  </si>
  <si>
    <t>Ich gerate in Stress, wenn ich mit Leuten zusammen sein muss, die ich nicht ausstehen kann.</t>
  </si>
  <si>
    <t>profile3-40</t>
  </si>
  <si>
    <t>Ich gerate in Stress, wenn ich kritisiert oder beschimpft werde.</t>
  </si>
  <si>
    <t>profile3-41</t>
  </si>
  <si>
    <t>Ich gerate in Stress, wenn ich einen Unfall habe, oder verletzt werde.</t>
  </si>
  <si>
    <t>profile3-42</t>
  </si>
  <si>
    <t>Ich gerate in Stress, wenn ein wichtiger Alltagsgegenstand kaputt geht (z.B. Waschmaschine, Herd etc.).</t>
  </si>
  <si>
    <t>profile3-43</t>
  </si>
  <si>
    <t>Ich gerate in Stress, wenn mir jemand Schaden zufügt.</t>
  </si>
  <si>
    <t>profile3-44</t>
  </si>
  <si>
    <t>Ich gerate in Stress, wenn mich jemand enttäuscht oder ein Versprechen bricht.</t>
  </si>
  <si>
    <t>profile3-45</t>
  </si>
  <si>
    <t>Ich gerate in Stress, wenn es mir körperlich nicht gut geht.</t>
  </si>
  <si>
    <t>profile3-46</t>
  </si>
  <si>
    <t>Ich gerate in Stress, wenn ich länger auf etwas warten muss als geplant.</t>
  </si>
  <si>
    <t>profile4-1</t>
  </si>
  <si>
    <t>Konflikte/Spannungen in der Familie (PartnerIn, Kinder, Eltern (Mutter, Vater), Geschwister)</t>
  </si>
  <si>
    <t>likert-4</t>
  </si>
  <si>
    <t>['nie', 'selten', 'manchmal', 'oft']</t>
  </si>
  <si>
    <t>profile4-2</t>
  </si>
  <si>
    <t>Konflikte mit FreundInnen und guten Bekannten</t>
  </si>
  <si>
    <t>profile4-3</t>
  </si>
  <si>
    <t>Konflikte/Spannungen am Arbeitsplatz</t>
  </si>
  <si>
    <t>profile4-4</t>
  </si>
  <si>
    <t>Konflikte/Spannungen mit Nachbarn</t>
  </si>
  <si>
    <t>profile4-5</t>
  </si>
  <si>
    <t>Ich fühle mich allein</t>
  </si>
  <si>
    <t>profile4-6</t>
  </si>
  <si>
    <t>Es gibt Menschen, die mich wirklich verstehen (neg.)</t>
  </si>
  <si>
    <t>profile4-7</t>
  </si>
  <si>
    <t>Ich habe zu wenig soziale Kontakte</t>
  </si>
  <si>
    <t>profile4-8</t>
  </si>
  <si>
    <t>Ich fühle mich sozial isoliert</t>
  </si>
  <si>
    <t>profile4-9</t>
  </si>
  <si>
    <t>Ich fühle mich niemandem nah</t>
  </si>
  <si>
    <t>profile4-10</t>
  </si>
  <si>
    <t>Ich habe zu wenig Gesellschaft</t>
  </si>
  <si>
    <t>profile4-11</t>
  </si>
  <si>
    <t>In folgenden Bereichen bin ich besonders stressanfällig: Leistungssituationen und Erfolgsdruck</t>
  </si>
  <si>
    <t>profile4-12</t>
  </si>
  <si>
    <t>In folgenden Bereichen bin ich besonders stressanfällig: soziale Beziehungen am Arbeitsplatz</t>
  </si>
  <si>
    <t>profile4-13</t>
  </si>
  <si>
    <t>In folgenden Bereichen bin ich besonders stressanfällig: Beziehungen zu Vorgesetzten</t>
  </si>
  <si>
    <t>profile4-14</t>
  </si>
  <si>
    <t>In folgenden Bereichen bin ich besonders stressanfällig: Arbeitsgestaltung (… s.o.)</t>
  </si>
  <si>
    <t>profile4-15</t>
  </si>
  <si>
    <t>In folgenden Bereichen bin ich besonders stressanfällig: familiäre Beziehungen</t>
  </si>
  <si>
    <t>profile4-16</t>
  </si>
  <si>
    <t>In folgenden Bereichen bin ich besonders stressanfällig: soziale Spannungen</t>
  </si>
  <si>
    <t>profile4-17</t>
  </si>
  <si>
    <t>In folgenden Bereichen bin ich besonders stressanfällig: bei sozialen Auftritten</t>
  </si>
  <si>
    <t>profile4-18</t>
  </si>
  <si>
    <t>Ich bin eine unsichere Person</t>
  </si>
  <si>
    <t>['trifft gar nicht zu', 'trifft eher nicht zu', 'trifft eher zu', 'trifft genau zu']</t>
  </si>
  <si>
    <t>profile4-19</t>
  </si>
  <si>
    <t>Ich verspüre oft große innere Unruhe</t>
  </si>
  <si>
    <t>profile4-20</t>
  </si>
  <si>
    <t>Ich bin oft ohne Grund traurig</t>
  </si>
  <si>
    <t>profile4-21</t>
  </si>
  <si>
    <t>Ich bin oft nervös</t>
  </si>
  <si>
    <t>profile4-22</t>
  </si>
  <si>
    <t>Oft werde ich von meinen Gefühlen hin und hergerissen</t>
  </si>
  <si>
    <t>profile4-23</t>
  </si>
  <si>
    <t>Es ist wichtig für mich, in allem, was ich tue, vollkommen kompetent zu sein.</t>
  </si>
  <si>
    <t>['überhaupt nicht', 'ganz genau']</t>
  </si>
  <si>
    <t>profile4-24</t>
  </si>
  <si>
    <t>Wenn ich mir selbst nicht die höchsten Maßstäbe setze, werde ich wahrscheinlich als Mensch zweiter Klasse enden.</t>
  </si>
  <si>
    <t>profile4-25</t>
  </si>
  <si>
    <t>Ich rege mich zurecht auf, wenn ich einen Fehler mache.</t>
  </si>
  <si>
    <t>profile4-26</t>
  </si>
  <si>
    <t>Ich setze mir höhere Ziele als die meisten Leute.</t>
  </si>
  <si>
    <t>profile4-27</t>
  </si>
  <si>
    <t>Ich hasse es bei etwas nicht der/die Beste zu sein.</t>
  </si>
  <si>
    <t>profile4-28</t>
  </si>
  <si>
    <t>Ich habe extrem hohe Ziele.</t>
  </si>
  <si>
    <t>profile4-29</t>
  </si>
  <si>
    <t>Ich will und muss perfekt sein.</t>
  </si>
  <si>
    <t>profile4-30</t>
  </si>
  <si>
    <t>Wenn ich nicht perfekt bin, werden andere mich nicht akzeptieren.</t>
  </si>
  <si>
    <t>profile4-31</t>
  </si>
  <si>
    <t>Ich sage häufig zu mir selbst: Sei perfekt!</t>
  </si>
  <si>
    <t>profile4-32</t>
  </si>
  <si>
    <t>Ich sage häufig zu mir selbst: Sei stark!</t>
  </si>
  <si>
    <t>profile4-33</t>
  </si>
  <si>
    <t>Ich sage häufig zu mir selbst: Mach es allen recht!</t>
  </si>
  <si>
    <t>profile4-34</t>
  </si>
  <si>
    <t>Ich sage häufig zu mir selbst: Streng Dich mehr an!</t>
  </si>
  <si>
    <t>profile4-35</t>
  </si>
  <si>
    <t>Ich sage häufig zu mir selbst: Mach schneller!</t>
  </si>
  <si>
    <t>profile4-36</t>
  </si>
  <si>
    <t>Ich habe eine Sorge nach der anderen.</t>
  </si>
  <si>
    <t>['trifft überhaupt nicht zu', 'trifft ein wenig zu', 'trifft einigermaßen zu', 'trifft weitestgehend zu', 'trifft voll und ganz zu']</t>
  </si>
  <si>
    <t>profile4-37</t>
  </si>
  <si>
    <t>Wegen meiner Sorgen kann ich nicht mehr alle meine Aufgaben erfüllen. Ich sorge mich stärker über Dinge als nötig.</t>
  </si>
  <si>
    <t>profile4-38</t>
  </si>
  <si>
    <t>Ich leide unter meinen Sorgen.</t>
  </si>
  <si>
    <t>profile4-39</t>
  </si>
  <si>
    <t>Es ist mir unmöglich mich von meinen Sorgen abzulenken.</t>
  </si>
  <si>
    <t>profile4-40</t>
  </si>
  <si>
    <t>Ich neige dazu, noch sehr lange über Dinge, die mir passiert sind, zu grübeln oder nachzudenken.</t>
  </si>
  <si>
    <t>['überhaupt nicht', 'sehr']</t>
  </si>
  <si>
    <t>profile4-41</t>
  </si>
  <si>
    <t>Ich neige dazu, in meinem Kopf Dinge, die vorbei oder passiert sind, immer wieder aufzuwärmen.</t>
  </si>
  <si>
    <t>profile4-42</t>
  </si>
  <si>
    <t>Manchmal fällt es mir schwer Gedanke über Vergangenes oder Unerledigtes abzuschalten.</t>
  </si>
  <si>
    <t>profile4-43</t>
  </si>
  <si>
    <t>Oft spiele ich in Gedanken immer wieder durch, wie ich mich in bestimmten Situationen verhalten habe oder besser hätte sollen.</t>
  </si>
  <si>
    <t>profile4-44</t>
  </si>
  <si>
    <t>Ich grüble oder denke über mich und Vergangenes oft sehr lange nach.</t>
  </si>
  <si>
    <t>profile4-45</t>
  </si>
  <si>
    <t>Ich grüble häufig über meine Mängel, Fehler und mein Versagen.</t>
  </si>
  <si>
    <t>profile4-46</t>
  </si>
  <si>
    <t>Ich bin nur sehr selten in der Natur bzw. habe auch keine Natur in meiner Umgebung.</t>
  </si>
  <si>
    <t>profile4-47</t>
  </si>
  <si>
    <t>Ich bewege mich zu wenig.</t>
  </si>
  <si>
    <t>profile4-48</t>
  </si>
  <si>
    <t>Ich gehe regelmäßig im Wald spazieren (neg.).</t>
  </si>
  <si>
    <t>profile4-49</t>
  </si>
  <si>
    <t>Ich betreibe regelmäßig Ausgleichssport und Fitnesstraining (neg.)</t>
  </si>
  <si>
    <t>profile4-50</t>
  </si>
  <si>
    <t>Ich liebe das Wandern und den Ausgleich in der Natur (neg.)</t>
  </si>
  <si>
    <t>profile4-51</t>
  </si>
  <si>
    <t>Ich habe schon lange keine ausführliche Naturwanderung mehr gemacht.</t>
  </si>
  <si>
    <t>profile5-1</t>
  </si>
  <si>
    <t>In der Regel gehe ich gerne zur Arbeit.</t>
  </si>
  <si>
    <t>likert-6</t>
  </si>
  <si>
    <t>['stimmt überhaupt nicht', 'stimmt völlig']</t>
  </si>
  <si>
    <t>profile5-2</t>
  </si>
  <si>
    <t>Die für meine Arbeit bedeutsamen Zusammenhänge verstehe ich.</t>
  </si>
  <si>
    <t>profile5-3</t>
  </si>
  <si>
    <t>Wofür ich arbeite, macht mir Sinn.</t>
  </si>
  <si>
    <t>profile5-4</t>
  </si>
  <si>
    <t>Die Anforderungen an mich sind mir klar.</t>
  </si>
  <si>
    <t>profile5-5</t>
  </si>
  <si>
    <t>Die Arbeit wirkt auf mein sonstiges Leben bereichernd.</t>
  </si>
  <si>
    <t>profile5-6</t>
  </si>
  <si>
    <t>Bezüglich der notwendigen Qualifikationen bin ich auf dem Laufenden.</t>
  </si>
  <si>
    <t>profile5-7</t>
  </si>
  <si>
    <t>Meine Persönlichkeit und meine beruflichen Möglichkeiten passen zusammen.</t>
  </si>
  <si>
    <t>profile5-8</t>
  </si>
  <si>
    <t>Meine Belastungen kann ich gut bewältigen.</t>
  </si>
  <si>
    <t>profile5-9</t>
  </si>
  <si>
    <t>Wie viele Menschen stehen Ihnen so nahe, dass Sie sich auf sie verlassen können, wenn Sie ernsthafte persönliche Probleme haben?</t>
  </si>
  <si>
    <t>['Niemand', '1', '2', '3', '5', '6 und mehr']</t>
  </si>
  <si>
    <t>profile5-10</t>
  </si>
  <si>
    <t>Wer gibt Ihnen Rückhalt und stützt Ihr Selbstwertgefühl, wenn Sie Stress haben oder sich mies fühlen?</t>
  </si>
  <si>
    <t>profile5-11</t>
  </si>
  <si>
    <t>Wie viele Menschen stehen Ihnen zur Verfügung, wenn Sie Ratschläge bei Lebensproblemen oder ein Gespräch über eine belastende Situation zur Klärung benötigen?</t>
  </si>
  <si>
    <t>profile5-12</t>
  </si>
  <si>
    <t>Wie viel Interesse zeigen andere Menschen an Ihnen und dem, was Sie tun?</t>
  </si>
  <si>
    <t>['kein Interesse', 'wenig Interesse', 'mäßiges Interesse', 'einiges Interesse', 'viel Interesse']</t>
  </si>
  <si>
    <t>profile5-13</t>
  </si>
  <si>
    <t>Wie einfach ist es für Sie von Ihren Nachbarn praktische Hilfe zu bekommen, wenn Sie eine solche benötigen?</t>
  </si>
  <si>
    <t>['sehr schwierig', 'schwierig', 'möglich', 'einfach', 'sehr einfach']</t>
  </si>
  <si>
    <t>profile5-14</t>
  </si>
  <si>
    <t>Ich habe sehr selten das Gefühl in einer ungewohnten Situation zu sein und nicht zu wissen, was ich tun soll.</t>
  </si>
  <si>
    <t>profile5-15</t>
  </si>
  <si>
    <t>Meine Gefühle und Gedanken sind so gut wie nie durcheinander.</t>
  </si>
  <si>
    <t>profile5-16</t>
  </si>
  <si>
    <t>Auch wenn ich einen starken Charakter habe, gibt es immer wieder Situationen, in denen ich mich als trauriger Verlierer fühle (neg.).</t>
  </si>
  <si>
    <t>profile5-17</t>
  </si>
  <si>
    <t>Ich habe oft das Gefühl, dass die Dinge, die ich in meinem Leben mache, so gut wie keinen Sinn ergeben (neg.).</t>
  </si>
  <si>
    <t>profile5-18</t>
  </si>
  <si>
    <t>Wenn ich über mein Leben nachdenke, ist es sehr oft so, dass ich es als lebenswert empfinde.</t>
  </si>
  <si>
    <t>profile5-19</t>
  </si>
  <si>
    <t>Wenn ich Pläne habe, verfolge ich sie auch.</t>
  </si>
  <si>
    <t>['stimme überhaupt nicht zu', 'stimme voll und ganz zu']</t>
  </si>
  <si>
    <t>profile5-20</t>
  </si>
  <si>
    <t>Normalerweise schaffe ich alles irgendwie.</t>
  </si>
  <si>
    <t>profile5-21</t>
  </si>
  <si>
    <t>Ich lasse mich nicht so schnell aus der Bahn werfen.</t>
  </si>
  <si>
    <t>profile5-22</t>
  </si>
  <si>
    <t>Ich nehme die Dinge wie sie kommen.</t>
  </si>
  <si>
    <t>profile5-23</t>
  </si>
  <si>
    <t>Ich kann mich auch überwinden, Dinge zu tun, die ich eigentlich nicht machen will.</t>
  </si>
  <si>
    <t>profile5-24</t>
  </si>
  <si>
    <t>Wenn ich in einer schwierigen Situation bin, finde ich gewöhnlich einen Weg heraus.</t>
  </si>
  <si>
    <t>profile5-25</t>
  </si>
  <si>
    <t>In schwierigen Situationen kann ich mich auf meine Fähigkeiten verlassen.</t>
  </si>
  <si>
    <t>profile5-26</t>
  </si>
  <si>
    <t>Die meisten Probleme kann ich aus eigener Kraft gut meistern.</t>
  </si>
  <si>
    <t>profile5-27</t>
  </si>
  <si>
    <t>Auch anstrengende und komplizierte Aufgaben kann ich in der Regel gut lösen.</t>
  </si>
  <si>
    <t>profile5-28</t>
  </si>
  <si>
    <t>Alles in allem betrachtet bin ich mit mir selbst zufrieden.</t>
  </si>
  <si>
    <t>profile5-29</t>
  </si>
  <si>
    <t>Ich besitze eine Reihe guter Eigenschaften.</t>
  </si>
  <si>
    <t>profile5-30</t>
  </si>
  <si>
    <t>Ich fürchte es gibt nicht viel, worauf ich stolz sein kann (neg.).</t>
  </si>
  <si>
    <t>profile5-31</t>
  </si>
  <si>
    <t>Ich wünschte ich könnte vor mir selbst mehr Achtung haben (neg.).</t>
  </si>
  <si>
    <t>profile5-32</t>
  </si>
  <si>
    <t>Ich halte mich für einen wertvollen Menschen, jedenfalls bin ich nicht weniger wertvoll als andere auch.</t>
  </si>
  <si>
    <t>profile5-33</t>
  </si>
  <si>
    <t>Ich kann meine Rechte gut durchsetzen.</t>
  </si>
  <si>
    <t>profile5-34</t>
  </si>
  <si>
    <t>Ich fühle mich im Allgemeinen selbstsicher.</t>
  </si>
  <si>
    <t>profile5-35</t>
  </si>
  <si>
    <t>Ich stehe zu meinen Stärken und Schwächen.</t>
  </si>
  <si>
    <t>profile5-36</t>
  </si>
  <si>
    <t>Im Allgemeinen würde ich sage, dass ich mein Leben in der Hand habe.</t>
  </si>
  <si>
    <t>profile5-37</t>
  </si>
  <si>
    <t>Ich sehe zuversichtlich in die Zukunft.</t>
  </si>
  <si>
    <t>profile5-38</t>
  </si>
  <si>
    <t>Ich habe eine rasche Auffassungsgabe.</t>
  </si>
  <si>
    <t>profile5-39</t>
  </si>
  <si>
    <t>Die Dinge, die ich tue, mache ich mit Fertigkeit und Kompetenz.</t>
  </si>
  <si>
    <t>profile5-40</t>
  </si>
  <si>
    <t>Ich kenne den Sinn meines Lebens.</t>
  </si>
  <si>
    <t>profile5-41</t>
  </si>
  <si>
    <t>Mein Leben hat einen deutlichen Sinn.</t>
  </si>
  <si>
    <t>profile5-42</t>
  </si>
  <si>
    <t>Mir ist bewusst, was mein Leben sinnvoll macht.</t>
  </si>
  <si>
    <t>profile5-43</t>
  </si>
  <si>
    <t>Ich habe einen erfüllenden Lebenssinn gefunden.</t>
  </si>
  <si>
    <t>profile5-44</t>
  </si>
  <si>
    <t>Mein Leben hat keinen mir ersichtlichen Sinn. (neg.).</t>
  </si>
  <si>
    <t>profile5-45</t>
  </si>
  <si>
    <t>Ich erwarte fast nie, dass die Dinge nach meinem Sinn verlaufen (neg.).</t>
  </si>
  <si>
    <t>profile5-46</t>
  </si>
  <si>
    <t>Ich blicke stets optimistisch in die Zukunft.</t>
  </si>
  <si>
    <t>profile5-47</t>
  </si>
  <si>
    <t>Die Dinge entwickeln sich nie so, wie ich es mir wünsche (neg.).</t>
  </si>
  <si>
    <t>profile5-48</t>
  </si>
  <si>
    <t>Ich sehe stets die guten Seiten der Dinge.</t>
  </si>
  <si>
    <t>profile6-1</t>
  </si>
  <si>
    <t>Ich habe mich mit der Arbeit oder anderen Sachen beschäftigt, um auf andere Gedanken zu kommen.</t>
  </si>
  <si>
    <t>['nie', 'immer']</t>
  </si>
  <si>
    <t>profile6-2</t>
  </si>
  <si>
    <t>Ich habe etwas unternommen, um mich abzulenken.</t>
  </si>
  <si>
    <t>profile6-3</t>
  </si>
  <si>
    <t>Ich habe mich darauf konzentriert, etwas an meiner Situation zu verändern.</t>
  </si>
  <si>
    <t>profile6-4</t>
  </si>
  <si>
    <t>Ich habe aktiv gehandelt, um die Situation zu verbessern.</t>
  </si>
  <si>
    <t>profile6-5</t>
  </si>
  <si>
    <t>Ich habe mich damit abgefunden, dass es passiert ist.</t>
  </si>
  <si>
    <t>profile6-6</t>
  </si>
  <si>
    <t>Ich habe gelernt, damit zu leben.</t>
  </si>
  <si>
    <t>profile6-7</t>
  </si>
  <si>
    <t>Ich habe meinen Gefühlen freien Lauf gelassen.</t>
  </si>
  <si>
    <t>profile6-8</t>
  </si>
  <si>
    <t>Ich habe offen gezeigt, wie schlecht ich mich fühle.</t>
  </si>
  <si>
    <t>profile6-9</t>
  </si>
  <si>
    <t>Ich habe aufmunternde Unterstützung von anderen erhalten.</t>
  </si>
  <si>
    <t>profile6-10</t>
  </si>
  <si>
    <t>Jemand hat mich getröstet und mir Verständnis entgegengebracht.</t>
  </si>
  <si>
    <t>profile6-11</t>
  </si>
  <si>
    <t>Ich habe Witze darüber gemacht.</t>
  </si>
  <si>
    <t>profile6-12</t>
  </si>
  <si>
    <t>Ich habe alles mit Humor genommen.</t>
  </si>
  <si>
    <t>profile6-13</t>
  </si>
  <si>
    <t>Ich habe andere Menschen um Hilfe und Rat gebeten.</t>
  </si>
  <si>
    <t>profile6-14</t>
  </si>
  <si>
    <t>Ich habe versucht, von anderen Menschen Rat oder Hilfe einzuholen.</t>
  </si>
  <si>
    <t>profile6-15</t>
  </si>
  <si>
    <t>Ich habe versucht, mir einen Plan zu überlegen, was ich tun kann.</t>
  </si>
  <si>
    <t>profile6-16</t>
  </si>
  <si>
    <t>Ich habe mir viele Gedanken darüber gemacht, was hier das Richtige wäre.</t>
  </si>
  <si>
    <t>profile6-17</t>
  </si>
  <si>
    <t>Ich habe versucht, die Dinge von einer positiveren Seite zu betrachten.</t>
  </si>
  <si>
    <t>profile6-18</t>
  </si>
  <si>
    <t>Ich habe versucht, etwas Gutes in dem zu finden, was mir passiert ist.</t>
  </si>
  <si>
    <t>profile6-19</t>
  </si>
  <si>
    <t>Ich habe versucht, Halt in meinem Glauben zu finden.</t>
  </si>
  <si>
    <t>profile6-20</t>
  </si>
  <si>
    <t>Ich habe gebetet oder meditiert.</t>
  </si>
  <si>
    <t>profile6-21</t>
  </si>
  <si>
    <t>Ich habe Sport betrieben, um 'herunter' zu kommen.</t>
  </si>
  <si>
    <t>profile6-22</t>
  </si>
  <si>
    <t>Ich habe versucht mich durch Sport auszugleichen.</t>
  </si>
  <si>
    <t>profile6-23</t>
  </si>
  <si>
    <t>Ich habe aktiv Entspannung betrieben, um mich zu beruhigen.</t>
  </si>
  <si>
    <t>profile6-24</t>
  </si>
  <si>
    <t>Ich habe bewusst Entspannungseinheiten in den Alltag eingeplant.</t>
  </si>
  <si>
    <t>profile6-25</t>
  </si>
  <si>
    <t>Ich habe mir bewusst selbst etwas Gutes getan.</t>
  </si>
  <si>
    <t>profile6-26</t>
  </si>
  <si>
    <t>Ich habe mich mir selbst gegenüber liebevoll verhalten/Ich war sehr liebevoll zu mir.</t>
  </si>
  <si>
    <t>profile6-27</t>
  </si>
  <si>
    <t>Ich habe mich mehr als sonst angestrengt, um das Problem zu lösen.</t>
  </si>
  <si>
    <t>profile6-28</t>
  </si>
  <si>
    <t>Ich habe alles gegeben, um den Stress zu bewältigen.</t>
  </si>
  <si>
    <t>profile6-29</t>
  </si>
  <si>
    <t>Ich habe mich selbst kritisiert und mir Vorwürfe gemacht.</t>
  </si>
  <si>
    <t>profile6-30</t>
  </si>
  <si>
    <t>Ich habe mir für die Dinge, die mir widerfahren sind, selbst die Schuld gegeben.</t>
  </si>
  <si>
    <t>profile6-31</t>
  </si>
  <si>
    <t>Ich habe es aufgegeben, mich damit zu beschäftigen.</t>
  </si>
  <si>
    <t>profile6-32</t>
  </si>
  <si>
    <t>Ich habe gar nicht mehr versucht, die Situation in den Griff zu kriegen.</t>
  </si>
  <si>
    <t>profile6-33</t>
  </si>
  <si>
    <t>Ich habe mir eingeredet, dass das alles nicht wahr ist.</t>
  </si>
  <si>
    <t>profile6-34</t>
  </si>
  <si>
    <t>Ich wollte einfach nicht glauben, dass mir das passiert.</t>
  </si>
  <si>
    <t>profile6-35</t>
  </si>
  <si>
    <t>Ich habe mich in mich selbst zurückgezogen.</t>
  </si>
  <si>
    <t>profile6-36</t>
  </si>
  <si>
    <t>Ich habe niemanden mehr an mich herangelassen.</t>
  </si>
  <si>
    <t>profile6-37</t>
  </si>
  <si>
    <t>Ich habe Alkohol oder andere Mittel zu mir genommen, um mich besser zu fühlen.</t>
  </si>
  <si>
    <t>profile6-38</t>
  </si>
  <si>
    <t>Um das durchzustehen, habe ich mich mit Alkohol oder anderen Mitteln besänftigt.</t>
  </si>
  <si>
    <t>profile7-1</t>
  </si>
  <si>
    <t>In den letzten zwei Wochen litt ich unter... Nervosität</t>
  </si>
  <si>
    <t>profile7-2</t>
  </si>
  <si>
    <t>In den letzten zwei Wochen litt ich unter... Magenbeschwerden</t>
  </si>
  <si>
    <t>profile7-3</t>
  </si>
  <si>
    <t>In den letzten zwei Wochen litt ich unter... Schlaflosigkeit</t>
  </si>
  <si>
    <t>profile7-4</t>
  </si>
  <si>
    <t>In den letzten zwei Wochen litt ich unter... Herzbeschwerden</t>
  </si>
  <si>
    <t>profile7-5</t>
  </si>
  <si>
    <t>In den letzten zwei Wochen litt ich unter... Bauchschmerzen</t>
  </si>
  <si>
    <t>profile7-6</t>
  </si>
  <si>
    <t>In den letzten zwei Wochen litt ich unter... Rückenschmerzen</t>
  </si>
  <si>
    <t>profile7-7</t>
  </si>
  <si>
    <t>In den letzten zwei Wochen litt ich unter... Kopfschmerzen</t>
  </si>
  <si>
    <t>profile7-8</t>
  </si>
  <si>
    <t>In den letzten zwei Wochen... war ich froh und guter Laune.</t>
  </si>
  <si>
    <t>profile7-9</t>
  </si>
  <si>
    <t>In den letzten zwei Wochen... habe ich mich ruhig und entspannt gefühlt.</t>
  </si>
  <si>
    <t>profile7-10</t>
  </si>
  <si>
    <t>In den letzten zwei Wochen... habe ich mich energetisch und aktiv gefühlt.</t>
  </si>
  <si>
    <t>profile7-11</t>
  </si>
  <si>
    <t>In den letzten zwei Wochen... habe ich mich beim Aufwachen frisch und ausgeruht gefühlt.</t>
  </si>
  <si>
    <t>profile7-12</t>
  </si>
  <si>
    <t>In den letzten zwei Wochen... war mein Alltag voller Dinge, die mich interessieren.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</si>
</sst>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4.3984375" defaultRowHeight="15.75" customHeight="1" x14ac:dyDescent="0.2"/>
  <cols>
    <col min="1" max="3" width="8.796875" customWidth="1"/>
    <col min="4" max="4" width="46" customWidth="1"/>
    <col min="5" max="5" width="41.19921875" customWidth="1"/>
    <col min="6" max="26" width="8.79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tr">
        <f ca="1">IFERROR(__xludf.DUMMYFUNCTION("GOOGLETRANSLATE(B2,""de"",""en"")"),"My overall mood throughout the day was:")</f>
        <v>My overall mood throughout the day was:</v>
      </c>
      <c r="F2" s="2" t="str">
        <f ca="1">IFERROR(__xludf.DUMMYFUNCTION("GOOGLETRANSLATE(D2,""de"",""en"")"),"['negative', 'positive']")</f>
        <v>['negative', 'positive']</v>
      </c>
    </row>
    <row r="3" spans="1:7" x14ac:dyDescent="0.2">
      <c r="A3" s="2" t="s">
        <v>10</v>
      </c>
      <c r="B3" s="2" t="s">
        <v>11</v>
      </c>
      <c r="C3" s="2" t="s">
        <v>8</v>
      </c>
      <c r="D3" s="2" t="s">
        <v>12</v>
      </c>
      <c r="E3" s="2" t="str">
        <f ca="1">IFERROR(__xludf.DUMMYFUNCTION("GOOGLETRANSLATE(B3,""de"",""en"")"),"Overall, I felt like this during the day:")</f>
        <v>Overall, I felt like this during the day:</v>
      </c>
      <c r="F3" s="2" t="str">
        <f ca="1">IFERROR(__xludf.DUMMYFUNCTION("GOOGLETRANSLATE(D3,""de"",""en"")"),"['excited', 'calm']")</f>
        <v>['excited', 'calm']</v>
      </c>
    </row>
    <row r="4" spans="1:7" x14ac:dyDescent="0.2">
      <c r="A4" s="2" t="s">
        <v>13</v>
      </c>
      <c r="B4" s="2" t="s">
        <v>14</v>
      </c>
      <c r="C4" s="2" t="s">
        <v>8</v>
      </c>
      <c r="D4" s="2" t="s">
        <v>15</v>
      </c>
      <c r="E4" s="2" t="str">
        <f ca="1">IFERROR(__xludf.DUMMYFUNCTION("GOOGLETRANSLATE(B4,""de"",""en"")"),"Overall I felt today:")</f>
        <v>Overall I felt today:</v>
      </c>
      <c r="F4" s="2" t="str">
        <f ca="1">IFERROR(__xludf.DUMMYFUNCTION("GOOGLETRANSLATE(D4,""de"",""en"")"),"['rather happy', 'rather unhappy']")</f>
        <v>['rather happy', 'rather unhappy']</v>
      </c>
    </row>
    <row r="5" spans="1:7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tr">
        <f ca="1">IFERROR(__xludf.DUMMYFUNCTION("GOOGLETRANSLATE(B5,""de"",""en"")"),"Was today a working day?")</f>
        <v>Was today a working day?</v>
      </c>
      <c r="F5" s="2" t="s">
        <v>20</v>
      </c>
    </row>
    <row r="6" spans="1:7" x14ac:dyDescent="0.2">
      <c r="A6" s="2" t="s">
        <v>21</v>
      </c>
      <c r="B6" s="2" t="s">
        <v>22</v>
      </c>
      <c r="C6" s="2" t="s">
        <v>8</v>
      </c>
      <c r="D6" s="2" t="s">
        <v>23</v>
      </c>
      <c r="E6" s="2" t="str">
        <f ca="1">IFERROR(__xludf.DUMMYFUNCTION("GOOGLETRANSLATE(B6,""de"",""en"")"),"Today I did more:")</f>
        <v>Today I did more:</v>
      </c>
      <c r="F6" s="2" t="str">
        <f ca="1">IFERROR(__xludf.DUMMYFUNCTION("GOOGLETRANSLATE(D6,""de"",""en"")"),"['routine tasks', 'extraordinary tasks']")</f>
        <v>['routine tasks', 'extraordinary tasks']</v>
      </c>
    </row>
    <row r="7" spans="1:7" x14ac:dyDescent="0.2">
      <c r="A7" s="2" t="s">
        <v>24</v>
      </c>
      <c r="B7" s="2" t="s">
        <v>25</v>
      </c>
      <c r="C7" s="2" t="s">
        <v>8</v>
      </c>
      <c r="D7" s="2" t="s">
        <v>26</v>
      </c>
      <c r="E7" s="2" t="str">
        <f ca="1">IFERROR(__xludf.DUMMYFUNCTION("GOOGLETRANSLATE(B7,""de"",""en"")"),"In my free time today I did more:")</f>
        <v>In my free time today I did more:</v>
      </c>
      <c r="F7" s="2" t="str">
        <f ca="1">IFERROR(__xludf.DUMMYFUNCTION("GOOGLETRANSLATE(D7,""de"",""en"")"),"['duties', 'leisure']")</f>
        <v>['duties', 'leisure']</v>
      </c>
    </row>
    <row r="8" spans="1:7" x14ac:dyDescent="0.2">
      <c r="A8" s="2" t="s">
        <v>27</v>
      </c>
      <c r="B8" s="2" t="s">
        <v>28</v>
      </c>
      <c r="C8" s="2" t="s">
        <v>8</v>
      </c>
      <c r="D8" s="2" t="s">
        <v>29</v>
      </c>
      <c r="E8" s="2" t="str">
        <f ca="1">IFERROR(__xludf.DUMMYFUNCTION("GOOGLETRANSLATE(B8,""de"",""en"")"),"My total physical exertion today was:")</f>
        <v>My total physical exertion today was:</v>
      </c>
      <c r="F8" s="2" t="str">
        <f ca="1">IFERROR(__xludf.DUMMYFUNCTION("GOOGLETRANSLATE(D8,""de"",""en"")"),"['low', 'high']")</f>
        <v>['low', 'high']</v>
      </c>
    </row>
    <row r="9" spans="1:7" x14ac:dyDescent="0.2">
      <c r="A9" s="2" t="s">
        <v>27</v>
      </c>
      <c r="B9" s="2" t="s">
        <v>30</v>
      </c>
      <c r="C9" s="2" t="s">
        <v>8</v>
      </c>
      <c r="D9" s="2" t="s">
        <v>29</v>
      </c>
      <c r="E9" s="2" t="str">
        <f ca="1">IFERROR(__xludf.DUMMYFUNCTION("GOOGLETRANSLATE(B9,""de"",""en"")"),"My overall mental effort today was:")</f>
        <v>My overall mental effort today was:</v>
      </c>
      <c r="F9" s="2" t="str">
        <f ca="1">IFERROR(__xludf.DUMMYFUNCTION("GOOGLETRANSLATE(D9,""de"",""en"")"),"['low', 'high']")</f>
        <v>['low', 'high']</v>
      </c>
    </row>
    <row r="10" spans="1:7" x14ac:dyDescent="0.2">
      <c r="A10" s="2" t="s">
        <v>31</v>
      </c>
      <c r="B10" s="2" t="s">
        <v>32</v>
      </c>
      <c r="C10" s="2" t="s">
        <v>8</v>
      </c>
      <c r="D10" s="2" t="s">
        <v>33</v>
      </c>
      <c r="E10" s="2" t="str">
        <f ca="1">IFERROR(__xludf.DUMMYFUNCTION("GOOGLETRANSLATE(B10,""de"",""en"")"),"Overall, I was missing a feeling of satisfaction today:")</f>
        <v>Overall, I was missing a feeling of satisfaction today:</v>
      </c>
      <c r="F10" s="2" t="str">
        <f ca="1">IFERROR(__xludf.DUMMYFUNCTION("GOOGLETRANSLATE(D10,""de"",""en"")"),"['strongly agree', 'strongly disagree']")</f>
        <v>['strongly agree', 'strongly disagree']</v>
      </c>
    </row>
    <row r="11" spans="1:7" x14ac:dyDescent="0.2">
      <c r="A11" s="2" t="s">
        <v>34</v>
      </c>
      <c r="B11" s="2" t="s">
        <v>35</v>
      </c>
      <c r="C11" s="2" t="s">
        <v>8</v>
      </c>
      <c r="D11" s="2" t="s">
        <v>33</v>
      </c>
      <c r="E11" s="2" t="str">
        <f ca="1">IFERROR(__xludf.DUMMYFUNCTION("GOOGLETRANSLATE(B11,""de"",""en"")"),"Overall I felt overwhelmed today:")</f>
        <v>Overall I felt overwhelmed today:</v>
      </c>
      <c r="F11" s="2" t="str">
        <f ca="1">IFERROR(__xludf.DUMMYFUNCTION("GOOGLETRANSLATE(D11,""de"",""en"")"),"['strongly agree', 'strongly disagree']")</f>
        <v>['strongly agree', 'strongly disagree']</v>
      </c>
    </row>
    <row r="12" spans="1:7" x14ac:dyDescent="0.2">
      <c r="A12" s="2" t="s">
        <v>36</v>
      </c>
      <c r="B12" s="2" t="s">
        <v>37</v>
      </c>
      <c r="C12" s="2" t="s">
        <v>8</v>
      </c>
      <c r="D12" s="2" t="s">
        <v>33</v>
      </c>
      <c r="E12" s="2" t="str">
        <f ca="1">IFERROR(__xludf.DUMMYFUNCTION("GOOGLETRANSLATE(B12,""de"",""en"")"),"I had no control over what happened today:")</f>
        <v>I had no control over what happened today:</v>
      </c>
      <c r="F12" s="2" t="str">
        <f ca="1">IFERROR(__xludf.DUMMYFUNCTION("GOOGLETRANSLATE(D12,""de"",""en"")"),"['strongly agree', 'strongly disagree']")</f>
        <v>['strongly agree', 'strongly disagree']</v>
      </c>
    </row>
    <row r="13" spans="1:7" x14ac:dyDescent="0.2">
      <c r="A13" s="2" t="s">
        <v>38</v>
      </c>
      <c r="B13" s="2" t="s">
        <v>39</v>
      </c>
      <c r="C13" s="2" t="s">
        <v>8</v>
      </c>
      <c r="D13" s="2" t="s">
        <v>33</v>
      </c>
      <c r="E13" s="2" t="str">
        <f ca="1">IFERROR(__xludf.DUMMYFUNCTION("GOOGLETRANSLATE(B13,""de"",""en"")"),"Today I couldn't relax:")</f>
        <v>Today I couldn't relax:</v>
      </c>
      <c r="F13" s="2" t="str">
        <f ca="1">IFERROR(__xludf.DUMMYFUNCTION("GOOGLETRANSLATE(D13,""de"",""en"")"),"['strongly agree', 'strongly disagree']")</f>
        <v>['strongly agree', 'strongly disagree']</v>
      </c>
    </row>
    <row r="14" spans="1:7" x14ac:dyDescent="0.2">
      <c r="A14" s="2" t="s">
        <v>40</v>
      </c>
      <c r="B14" s="2" t="s">
        <v>41</v>
      </c>
      <c r="C14" s="2" t="s">
        <v>8</v>
      </c>
      <c r="D14" s="2" t="s">
        <v>33</v>
      </c>
      <c r="E14" s="2" t="str">
        <f ca="1">IFERROR(__xludf.DUMMYFUNCTION("GOOGLETRANSLATE(B14,""de"",""en"")"),"Overall, I had a dark and negative mood today:")</f>
        <v>Overall, I had a dark and negative mood today:</v>
      </c>
      <c r="F14" s="2" t="str">
        <f ca="1">IFERROR(__xludf.DUMMYFUNCTION("GOOGLETRANSLATE(D14,""de"",""en"")"),"['strongly agree', 'strongly disagree']")</f>
        <v>['strongly agree', 'strongly disagree']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3984375" defaultRowHeight="15.75" customHeight="1" x14ac:dyDescent="0.2"/>
  <cols>
    <col min="1" max="3" width="8.796875" customWidth="1"/>
    <col min="4" max="4" width="62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42</v>
      </c>
      <c r="B2" s="2" t="s">
        <v>43</v>
      </c>
      <c r="C2" s="2" t="s">
        <v>8</v>
      </c>
      <c r="D2" s="2" t="s">
        <v>9</v>
      </c>
      <c r="E2" s="2" t="str">
        <f ca="1">IFERROR(__xludf.DUMMYFUNCTION("GOOGLETRANSLATE(B2,""de"",""en"")"),"My current mood is:")</f>
        <v>My current mood is:</v>
      </c>
      <c r="F2" s="2" t="str">
        <f ca="1">IFERROR(__xludf.DUMMYFUNCTION("GOOGLETRANSLATE(D2,""de"",""en"")"),"['negative', 'positive']")</f>
        <v>['negative', 'positive']</v>
      </c>
    </row>
    <row r="3" spans="1:6" x14ac:dyDescent="0.2">
      <c r="A3" s="2" t="s">
        <v>44</v>
      </c>
      <c r="B3" s="2" t="s">
        <v>45</v>
      </c>
      <c r="C3" s="2" t="s">
        <v>8</v>
      </c>
      <c r="D3" s="2" t="s">
        <v>12</v>
      </c>
      <c r="E3" s="2" t="str">
        <f ca="1">IFERROR(__xludf.DUMMYFUNCTION("GOOGLETRANSLATE(B3,""de"",""en"")"),"I feel:")</f>
        <v>I feel:</v>
      </c>
      <c r="F3" s="2" t="str">
        <f ca="1">IFERROR(__xludf.DUMMYFUNCTION("GOOGLETRANSLATE(D3,""de"",""en"")"),"['excited', 'calm']")</f>
        <v>['excited', 'calm']</v>
      </c>
    </row>
    <row r="4" spans="1:6" x14ac:dyDescent="0.2">
      <c r="A4" s="2" t="s">
        <v>46</v>
      </c>
      <c r="B4" s="2" t="s">
        <v>47</v>
      </c>
      <c r="C4" s="2" t="s">
        <v>18</v>
      </c>
      <c r="D4" s="2" t="s">
        <v>19</v>
      </c>
      <c r="E4" s="2" t="str">
        <f ca="1">IFERROR(__xludf.DUMMYFUNCTION("GOOGLETRANSLATE(B4,""de"",""en"")"),"Is it working time right now?")</f>
        <v>Is it working time right now?</v>
      </c>
      <c r="F4" s="2" t="s">
        <v>20</v>
      </c>
    </row>
    <row r="5" spans="1:6" x14ac:dyDescent="0.2">
      <c r="A5" s="2" t="s">
        <v>48</v>
      </c>
      <c r="B5" s="2" t="s">
        <v>49</v>
      </c>
      <c r="C5" s="2" t="s">
        <v>18</v>
      </c>
      <c r="D5" s="2" t="s">
        <v>26</v>
      </c>
      <c r="E5" s="2" t="str">
        <f ca="1">IFERROR(__xludf.DUMMYFUNCTION("GOOGLETRANSLATE(B5,""de"",""en"")"),"I'm currently doing:")</f>
        <v>I'm currently doing:</v>
      </c>
      <c r="F5" s="2" t="str">
        <f ca="1">IFERROR(__xludf.DUMMYFUNCTION("GOOGLETRANSLATE(D5,""de"",""en"")"),"['duties', 'leisure']")</f>
        <v>['duties', 'leisure']</v>
      </c>
    </row>
    <row r="6" spans="1:6" x14ac:dyDescent="0.2">
      <c r="A6" s="2" t="s">
        <v>50</v>
      </c>
      <c r="B6" s="2" t="s">
        <v>49</v>
      </c>
      <c r="C6" s="2" t="s">
        <v>18</v>
      </c>
      <c r="D6" s="2" t="s">
        <v>23</v>
      </c>
      <c r="E6" s="2" t="str">
        <f ca="1">IFERROR(__xludf.DUMMYFUNCTION("GOOGLETRANSLATE(B6,""de"",""en"")"),"I'm currently doing:")</f>
        <v>I'm currently doing:</v>
      </c>
      <c r="F6" s="2" t="str">
        <f ca="1">IFERROR(__xludf.DUMMYFUNCTION("GOOGLETRANSLATE(D6,""de"",""en"")"),"['routine tasks', 'extraordinary tasks']")</f>
        <v>['routine tasks', 'extraordinary tasks']</v>
      </c>
    </row>
    <row r="7" spans="1:6" x14ac:dyDescent="0.2">
      <c r="A7" s="2" t="s">
        <v>51</v>
      </c>
      <c r="B7" s="2" t="s">
        <v>52</v>
      </c>
      <c r="C7" s="2" t="s">
        <v>8</v>
      </c>
      <c r="D7" s="2" t="s">
        <v>29</v>
      </c>
      <c r="E7" s="2" t="str">
        <f ca="1">IFERROR(__xludf.DUMMYFUNCTION("GOOGLETRANSLATE(B7,""de"",""en"")"),"My physical exertion is:")</f>
        <v>My physical exertion is:</v>
      </c>
      <c r="F7" s="2" t="str">
        <f ca="1">IFERROR(__xludf.DUMMYFUNCTION("GOOGLETRANSLATE(D7,""de"",""en"")"),"['low', 'high']")</f>
        <v>['low', 'high']</v>
      </c>
    </row>
    <row r="8" spans="1:6" x14ac:dyDescent="0.2">
      <c r="A8" s="2" t="s">
        <v>53</v>
      </c>
      <c r="B8" s="2" t="s">
        <v>54</v>
      </c>
      <c r="C8" s="2" t="s">
        <v>8</v>
      </c>
      <c r="D8" s="2" t="s">
        <v>29</v>
      </c>
      <c r="E8" s="2" t="str">
        <f ca="1">IFERROR(__xludf.DUMMYFUNCTION("GOOGLETRANSLATE(B8,""de"",""en"")"),"My mental effort is:")</f>
        <v>My mental effort is:</v>
      </c>
      <c r="F8" s="2" t="str">
        <f ca="1">IFERROR(__xludf.DUMMYFUNCTION("GOOGLETRANSLATE(D8,""de"",""en"")"),"['low', 'high']")</f>
        <v>['low', 'high']</v>
      </c>
    </row>
    <row r="9" spans="1:6" x14ac:dyDescent="0.2">
      <c r="A9" s="2" t="s">
        <v>55</v>
      </c>
      <c r="B9" s="2" t="s">
        <v>56</v>
      </c>
      <c r="C9" s="2" t="s">
        <v>18</v>
      </c>
      <c r="D9" s="2" t="s">
        <v>57</v>
      </c>
      <c r="E9" s="2" t="str">
        <f ca="1">IFERROR(__xludf.DUMMYFUNCTION("GOOGLETRANSLATE(B9,""de"",""en"")"),"I am:")</f>
        <v>I am:</v>
      </c>
      <c r="F9" s="2" t="str">
        <f ca="1">IFERROR(__xludf.DUMMYFUNCTION("GOOGLETRANSLATE(D9,""de"",""en"")"),"['Alone', 'in casual contact with others', 'in close contact with others']")</f>
        <v>['Alone', 'in casual contact with others', 'in close contact with others']</v>
      </c>
    </row>
    <row r="10" spans="1:6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tr">
        <f ca="1">IFERROR(__xludf.DUMMYFUNCTION("GOOGLETRANSLATE(B10,""de"",""en"")"),"Comment:")</f>
        <v>Comment:</v>
      </c>
      <c r="F10" s="2" t="str">
        <f ca="1">IFERROR(__xludf.DUMMYFUNCTION("GOOGLETRANSLATE(D10,""de"",""en"")"),"['text']")</f>
        <v>['text']</v>
      </c>
    </row>
    <row r="11" spans="1:6" x14ac:dyDescent="0.2">
      <c r="A11" s="2" t="s">
        <v>62</v>
      </c>
      <c r="B11" s="2" t="s">
        <v>63</v>
      </c>
      <c r="C11" s="2" t="s">
        <v>60</v>
      </c>
      <c r="D11" s="2" t="s">
        <v>64</v>
      </c>
      <c r="E11" s="2" t="str">
        <f ca="1">IFERROR(__xludf.DUMMYFUNCTION("GOOGLETRANSLATE(B11,""de"",""en"")"),"Remember a particularly stressful event since the last recording. Time:")</f>
        <v>Remember a particularly stressful event since the last recording. Time:</v>
      </c>
      <c r="F11" s="2" t="str">
        <f ca="1">IFERROR(__xludf.DUMMYFUNCTION("GOOGLETRANSLATE(D11,""de"",""en"")"),"['time']")</f>
        <v>['time']</v>
      </c>
    </row>
    <row r="12" spans="1:6" x14ac:dyDescent="0.2">
      <c r="A12" s="2" t="s">
        <v>65</v>
      </c>
      <c r="B12" s="2" t="s">
        <v>66</v>
      </c>
      <c r="C12" s="2" t="s">
        <v>8</v>
      </c>
      <c r="D12" s="2" t="s">
        <v>9</v>
      </c>
      <c r="E12" s="2" t="str">
        <f ca="1">IFERROR(__xludf.DUMMYFUNCTION("GOOGLETRANSLATE(B12,""de"",""en"")"),"My current mood was:")</f>
        <v>My current mood was:</v>
      </c>
      <c r="F12" s="2" t="str">
        <f ca="1">IFERROR(__xludf.DUMMYFUNCTION("GOOGLETRANSLATE(D12,""de"",""en"")"),"['negative', 'positive']")</f>
        <v>['negative', 'positive']</v>
      </c>
    </row>
    <row r="13" spans="1:6" x14ac:dyDescent="0.2">
      <c r="A13" s="2" t="s">
        <v>67</v>
      </c>
      <c r="B13" s="2" t="s">
        <v>68</v>
      </c>
      <c r="C13" s="2" t="s">
        <v>8</v>
      </c>
      <c r="D13" s="2" t="s">
        <v>12</v>
      </c>
      <c r="E13" s="2" t="str">
        <f ca="1">IFERROR(__xludf.DUMMYFUNCTION("GOOGLETRANSLATE(B13,""de"",""en"")"),"I felt:")</f>
        <v>I felt:</v>
      </c>
      <c r="F13" s="2" t="str">
        <f ca="1">IFERROR(__xludf.DUMMYFUNCTION("GOOGLETRANSLATE(D13,""de"",""en"")"),"['excited', 'calm']")</f>
        <v>['excited', 'calm']</v>
      </c>
    </row>
    <row r="14" spans="1:6" x14ac:dyDescent="0.2">
      <c r="A14" s="2" t="s">
        <v>69</v>
      </c>
      <c r="B14" s="2" t="s">
        <v>70</v>
      </c>
      <c r="C14" s="2" t="s">
        <v>8</v>
      </c>
      <c r="D14" s="2" t="s">
        <v>29</v>
      </c>
      <c r="E14" s="2" t="str">
        <f ca="1">IFERROR(__xludf.DUMMYFUNCTION("GOOGLETRANSLATE(B14,""de"",""en"")"),"My physical exertion was:")</f>
        <v>My physical exertion was:</v>
      </c>
      <c r="F14" s="2" t="str">
        <f ca="1">IFERROR(__xludf.DUMMYFUNCTION("GOOGLETRANSLATE(D14,""de"",""en"")"),"['low', 'high']")</f>
        <v>['low', 'high']</v>
      </c>
    </row>
    <row r="15" spans="1:6" x14ac:dyDescent="0.2">
      <c r="A15" s="2" t="s">
        <v>71</v>
      </c>
      <c r="B15" s="2" t="s">
        <v>72</v>
      </c>
      <c r="C15" s="2" t="s">
        <v>8</v>
      </c>
      <c r="D15" s="2" t="s">
        <v>29</v>
      </c>
      <c r="E15" s="2" t="str">
        <f ca="1">IFERROR(__xludf.DUMMYFUNCTION("GOOGLETRANSLATE(B15,""de"",""en"")"),"My mental effort was:")</f>
        <v>My mental effort was:</v>
      </c>
      <c r="F15" s="2" t="str">
        <f ca="1">IFERROR(__xludf.DUMMYFUNCTION("GOOGLETRANSLATE(D15,""de"",""en"")"),"['low', 'high']")</f>
        <v>['low', 'high']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73</v>
      </c>
      <c r="B2" s="2" t="s">
        <v>43</v>
      </c>
      <c r="C2" s="2" t="s">
        <v>8</v>
      </c>
      <c r="D2" s="2" t="s">
        <v>9</v>
      </c>
      <c r="E2" s="2" t="str">
        <f ca="1">IFERROR(__xludf.DUMMYFUNCTION("GOOGLETRANSLATE(B2,""de"",""en"")"),"My current mood is:")</f>
        <v>My current mood is:</v>
      </c>
      <c r="F2" s="2" t="str">
        <f ca="1">IFERROR(__xludf.DUMMYFUNCTION("GOOGLETRANSLATE(D2,""de"",""en"")"),"['negative', 'positive']")</f>
        <v>['negative', 'positive']</v>
      </c>
    </row>
    <row r="3" spans="1:6" x14ac:dyDescent="0.2">
      <c r="A3" s="2" t="s">
        <v>74</v>
      </c>
      <c r="B3" s="2" t="s">
        <v>45</v>
      </c>
      <c r="C3" s="2" t="s">
        <v>8</v>
      </c>
      <c r="D3" s="2" t="s">
        <v>12</v>
      </c>
      <c r="E3" s="2" t="str">
        <f ca="1">IFERROR(__xludf.DUMMYFUNCTION("GOOGLETRANSLATE(B3,""de"",""en"")"),"I feel:")</f>
        <v>I feel:</v>
      </c>
      <c r="F3" s="2" t="str">
        <f ca="1">IFERROR(__xludf.DUMMYFUNCTION("GOOGLETRANSLATE(D3,""de"",""en"")"),"['excited', 'calm']")</f>
        <v>['excited', 'calm']</v>
      </c>
    </row>
    <row r="4" spans="1:6" x14ac:dyDescent="0.2">
      <c r="A4" s="2" t="s">
        <v>75</v>
      </c>
      <c r="B4" s="2" t="s">
        <v>76</v>
      </c>
      <c r="C4" s="2" t="s">
        <v>8</v>
      </c>
      <c r="D4" s="2" t="s">
        <v>77</v>
      </c>
      <c r="E4" s="2" t="str">
        <f ca="1">IFERROR(__xludf.DUMMYFUNCTION("GOOGLETRANSLATE(B4,""de"",""en"")"),"I expect for today:")</f>
        <v>I expect for today:</v>
      </c>
      <c r="F4" s="2" t="str">
        <f ca="1">IFERROR(__xludf.DUMMYFUNCTION("GOOGLETRANSLATE(D4,""de"",""en"")"),"['no stress at all', 'a lot of stress']")</f>
        <v>['no stress at all', 'a lot of stress']</v>
      </c>
    </row>
    <row r="5" spans="1:6" x14ac:dyDescent="0.2">
      <c r="A5" s="2" t="s">
        <v>78</v>
      </c>
      <c r="B5" s="2" t="s">
        <v>79</v>
      </c>
      <c r="C5" s="2" t="s">
        <v>8</v>
      </c>
      <c r="D5" s="2" t="s">
        <v>80</v>
      </c>
      <c r="E5" s="2" t="str">
        <f ca="1">IFERROR(__xludf.DUMMYFUNCTION("GOOGLETRANSLATE(B5,""de"",""en"")"),"My sleep was:")</f>
        <v>My sleep was:</v>
      </c>
      <c r="F5" s="2" t="str">
        <f ca="1">IFERROR(__xludf.DUMMYFUNCTION("GOOGLETRANSLATE(D5,""de"",""en"")"),"['not at all relaxing', 'very relaxing']")</f>
        <v>['not at all relaxing', 'very relaxing']</v>
      </c>
    </row>
    <row r="6" spans="1:6" x14ac:dyDescent="0.2">
      <c r="A6" s="2" t="s">
        <v>81</v>
      </c>
      <c r="B6" s="2" t="s">
        <v>82</v>
      </c>
      <c r="C6" s="2" t="s">
        <v>18</v>
      </c>
      <c r="D6" s="2" t="s">
        <v>83</v>
      </c>
      <c r="E6" s="2" t="str">
        <f ca="1">IFERROR(__xludf.DUMMYFUNCTION("GOOGLETRANSLATE(B6,""de"",""en"")"),"I woke up at night:")</f>
        <v>I woke up at night:</v>
      </c>
      <c r="F6" s="2" t="str">
        <f ca="1">IFERROR(__xludf.DUMMYFUNCTION("GOOGLETRANSLATE(D6,""de"",""en"")"),"['not at all / don't know', 'yes']")</f>
        <v>['not at all / don't know', 'yes']</v>
      </c>
    </row>
    <row r="7" spans="1:6" x14ac:dyDescent="0.2">
      <c r="A7" s="2" t="s">
        <v>84</v>
      </c>
      <c r="B7" s="2" t="s">
        <v>85</v>
      </c>
      <c r="C7" s="2" t="s">
        <v>60</v>
      </c>
      <c r="D7" s="2" t="s">
        <v>86</v>
      </c>
      <c r="E7" s="2" t="str">
        <f ca="1">IFERROR(__xludf.DUMMYFUNCTION("GOOGLETRANSLATE(B7,""de"",""en"")"),"Estimated:")</f>
        <v>Estimated:</v>
      </c>
      <c r="F7" s="2" t="str">
        <f ca="1">IFERROR(__xludf.DUMMYFUNCTION("GOOGLETRANSLATE(D7,""de"",""en"")"),"['number']")</f>
        <v>['number']</v>
      </c>
    </row>
    <row r="8" spans="1:6" x14ac:dyDescent="0.2">
      <c r="A8" s="2" t="s">
        <v>87</v>
      </c>
      <c r="B8" s="2" t="s">
        <v>88</v>
      </c>
      <c r="C8" s="2" t="s">
        <v>60</v>
      </c>
      <c r="D8" s="2" t="s">
        <v>86</v>
      </c>
      <c r="E8" s="2" t="str">
        <f ca="1">IFERROR(__xludf.DUMMYFUNCTION("GOOGLETRANSLATE(B8,""de"",""en"")"),"For approx.:")</f>
        <v>For approx.:</v>
      </c>
      <c r="F8" s="2" t="str">
        <f ca="1">IFERROR(__xludf.DUMMYFUNCTION("GOOGLETRANSLATE(D8,""de"",""en"")"),"['number']")</f>
        <v>['number']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8"/>
  <sheetViews>
    <sheetView tabSelected="1" workbookViewId="0">
      <selection activeCell="A6" sqref="A6"/>
    </sheetView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89</v>
      </c>
      <c r="B2" s="2" t="s">
        <v>90</v>
      </c>
      <c r="C2" s="2" t="s">
        <v>91</v>
      </c>
      <c r="D2" s="2" t="s">
        <v>92</v>
      </c>
      <c r="E2" s="2" t="str">
        <f ca="1">IFERROR(__xludf.DUMMYFUNCTION("GOOGLETRANSLATE(B2,""de"",""en"")"),"I am...")</f>
        <v>I am...</v>
      </c>
      <c r="F2" s="2" t="str">
        <f ca="1">IFERROR(__xludf.DUMMYFUNCTION("GOOGLETRANSLATE(D2,""de"",""en"")"),"['... single', '... in partnership', '... parent']")</f>
        <v>['... single', '... in partnership', '... parent']</v>
      </c>
    </row>
    <row r="3" spans="1:6" x14ac:dyDescent="0.2">
      <c r="A3" s="2" t="s">
        <v>93</v>
      </c>
      <c r="B3" s="2" t="s">
        <v>94</v>
      </c>
      <c r="C3" s="2" t="s">
        <v>18</v>
      </c>
      <c r="D3" s="2" t="s">
        <v>95</v>
      </c>
      <c r="E3" s="2" t="str">
        <f ca="1">IFERROR(__xludf.DUMMYFUNCTION("GOOGLETRANSLATE(B3,""de"",""en"")"),"I live...")</f>
        <v>I live...</v>
      </c>
      <c r="F3" s="2" t="str">
        <f ca="1">IFERROR(__xludf.DUMMYFUNCTION("GOOGLETRANSLATE(D3,""de"",""en"")"),"['... rural in a busy area', '... rural in a quiet area', '... in a busy part of town', '... in a quiet part of town']")</f>
        <v>['... rural in a busy area', '... rural in a quiet area', '... in a busy part of town', '... in a quiet part of town']</v>
      </c>
    </row>
    <row r="4" spans="1:6" x14ac:dyDescent="0.2">
      <c r="A4" s="2" t="s">
        <v>96</v>
      </c>
      <c r="B4" s="2" t="s">
        <v>90</v>
      </c>
      <c r="C4" s="2" t="s">
        <v>91</v>
      </c>
      <c r="D4" s="2" t="s">
        <v>97</v>
      </c>
      <c r="E4" s="2" t="str">
        <f ca="1">IFERROR(__xludf.DUMMYFUNCTION("GOOGLETRANSLATE(B4,""de"",""en"")"),"I am...")</f>
        <v>I am...</v>
      </c>
      <c r="F4" s="2" t="str">
        <f ca="1">IFERROR(__xludf.DUMMYFUNCTION("GOOGLETRANSLATE(D4,""de"",""en"")"),"['... satisfied with my current family/relationship situation', '... satisfied with my friendships outside of the family/relationship', '... satisfied with my current living situation']")</f>
        <v>['... satisfied with my current family/relationship situation', '... satisfied with my friendships outside of the family/relationship', '... satisfied with my current living situation']</v>
      </c>
    </row>
    <row r="5" spans="1:6" x14ac:dyDescent="0.2">
      <c r="A5" s="2" t="s">
        <v>98</v>
      </c>
      <c r="B5" s="2" t="s">
        <v>99</v>
      </c>
      <c r="C5" s="2" t="s">
        <v>91</v>
      </c>
      <c r="D5" s="2" t="s">
        <v>100</v>
      </c>
      <c r="E5" s="2" t="str">
        <f ca="1">IFERROR(__xludf.DUMMYFUNCTION("GOOGLETRANSLATE(B5,""de"",""en"")"),"For my commute I use...")</f>
        <v>For my commute I use...</v>
      </c>
      <c r="F5" s="2" t="str">
        <f ca="1">IFERROR(__xludf.DUMMYFUNCTION("GOOGLETRANSLATE(D5,""de"",""en"")"),"['... the bike or e-scooter', '... public transport', '... the car or motorcycle/scooter', '... no vehicle, I walk']")</f>
        <v>['... the bike or e-scooter', '... public transport', '... the car or motorcycle/scooter', '... no vehicle, I walk']</v>
      </c>
    </row>
    <row r="6" spans="1:6" x14ac:dyDescent="0.2">
      <c r="A6" s="2" t="s">
        <v>101</v>
      </c>
      <c r="B6" s="2" t="s">
        <v>102</v>
      </c>
      <c r="C6" s="2" t="s">
        <v>18</v>
      </c>
      <c r="D6" s="2" t="s">
        <v>103</v>
      </c>
      <c r="E6" s="2" t="str">
        <f ca="1">IFERROR(__xludf.DUMMYFUNCTION("GOOGLETRANSLATE(B8,""de"",""en"")"),"My highest completed education is:")</f>
        <v>My highest completed education is:</v>
      </c>
      <c r="F6" s="2" t="str">
        <f ca="1">IFERROR(__xludf.DUMMYFUNCTION("GOOGLETRANSLATE(D8,""de"",""en"")"),"['None', 'Compulsory school', 'Apprenticeship/technical school', 'Abitur/Fachabitur/Matura', 'Master's examination', 'Graduate university degree/Bachelor', 'Postgraduate university degree/Master's', 'Higher (from doctorate)']")</f>
        <v>['None', 'Compulsory school', 'Apprenticeship/technical school', 'Abitur/Fachabitur/Matura', 'Master's examination', 'Graduate university degree/Bachelor', 'Postgraduate university degree/Master's', 'Higher (from doctorate)']</v>
      </c>
    </row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104</v>
      </c>
      <c r="B2" s="2" t="s">
        <v>105</v>
      </c>
      <c r="C2" s="2" t="s">
        <v>18</v>
      </c>
      <c r="D2" s="2" t="s">
        <v>106</v>
      </c>
      <c r="E2" s="2" t="str">
        <f ca="1">IFERROR(__xludf.DUMMYFUNCTION("GOOGLETRANSLATE(B2,""de"",""en"")"),"What industry does your job belong to?")</f>
        <v>What industry does your job belong to?</v>
      </c>
      <c r="F2" s="2" t="str">
        <f ca="1">IFERROR(__xludf.DUMMYFUNCTION("GOOGLETRANSLATE(D2,""de"",""en"")"),"['Industry', 'Agriculture', 'Services', 'Construction', 'Chemistry, metal and raw materials', 'Trade', 'Finance, insurance and real estate', 'Tourism, gastronomy and leisure', 'Media', ' Health', 'Society, Sport and Culture', 'Energy and Environment', 'Po"&amp;"litics']")</f>
        <v>['Industry', 'Agriculture', 'Services', 'Construction', 'Chemistry, metal and raw materials', 'Trade', 'Finance, insurance and real estate', 'Tourism, gastronomy and leisure', 'Media', ' Health', 'Society, Sport and Culture', 'Energy and Environment', 'Politics']</v>
      </c>
    </row>
    <row r="3" spans="1:6" x14ac:dyDescent="0.2">
      <c r="A3" s="2" t="s">
        <v>107</v>
      </c>
      <c r="B3" s="2" t="s">
        <v>108</v>
      </c>
      <c r="C3" s="2" t="s">
        <v>109</v>
      </c>
      <c r="D3" s="2" t="s">
        <v>110</v>
      </c>
      <c r="E3" s="2" t="str">
        <f ca="1">IFERROR(__xludf.DUMMYFUNCTION("GOOGLETRANSLATE(B3,""de"",""en"")"),"I am generally satisfied with my current professional situation.")</f>
        <v>I am generally satisfied with my current professional situation.</v>
      </c>
      <c r="F3" s="2" t="str">
        <f ca="1">IFERROR(__xludf.DUMMYFUNCTION("GOOGLETRANSLATE(D3,""de"",""en"")"),"['does not apply at all', 'completely applies']")</f>
        <v>['does not apply at all', 'completely applies']</v>
      </c>
    </row>
    <row r="4" spans="1:6" x14ac:dyDescent="0.2">
      <c r="A4" s="2" t="s">
        <v>111</v>
      </c>
      <c r="B4" s="2" t="s">
        <v>112</v>
      </c>
      <c r="C4" s="2" t="s">
        <v>91</v>
      </c>
      <c r="D4" s="2" t="s">
        <v>113</v>
      </c>
      <c r="E4" s="2" t="str">
        <f ca="1">IFERROR(__xludf.DUMMYFUNCTION("GOOGLETRANSLATE(B4,""de"",""en"")"),"The following statements apply to my general working conditions:")</f>
        <v>The following statements apply to my general working conditions:</v>
      </c>
      <c r="F4" s="2" t="str">
        <f ca="1">IFERROR(__xludf.DUMMYFUNCTION("GOOGLETRANSLATE(D4,""de"",""en"")"),"['I perform a management function.', 'I have customer contact.', 'I practice my profession indoors.', 'I practice my profession outside (outdoor).', 'I practice my profession at home Office.']")</f>
        <v>['I perform a management function.', 'I have customer contact.', 'I practice my profession indoors.', 'I practice my profession outside (outdoor).', 'I practice my profession at home Office.']</v>
      </c>
    </row>
    <row r="5" spans="1:6" x14ac:dyDescent="0.2">
      <c r="A5" s="2" t="s">
        <v>114</v>
      </c>
      <c r="B5" s="2" t="s">
        <v>115</v>
      </c>
      <c r="C5" s="2" t="s">
        <v>91</v>
      </c>
      <c r="D5" s="2" t="s">
        <v>116</v>
      </c>
      <c r="E5" s="2" t="str">
        <f ca="1">IFERROR(__xludf.DUMMYFUNCTION("GOOGLETRANSLATE(B5,""de"",""en"")"),"The following statements apply to my specific working conditions:")</f>
        <v>The following statements apply to my specific working conditions:</v>
      </c>
      <c r="F5" s="2" t="str">
        <f ca="1">IFERROR(__xludf.DUMMYFUNCTION("GOOGLETRANSLATE(D5,""de"",""en"")"),"['Shift work', 'Regular overtime', 'Multiple employment', 'Fixed-term employment', 'Training situation', 'Part-time employment', 'Physically demanding work']")</f>
        <v>['Shift work', 'Regular overtime', 'Multiple employment', 'Fixed-term employment', 'Training situation', 'Part-time employment', 'Physically demanding work']</v>
      </c>
    </row>
    <row r="6" spans="1:6" x14ac:dyDescent="0.2">
      <c r="A6" s="2" t="s">
        <v>117</v>
      </c>
      <c r="B6" s="2" t="s">
        <v>118</v>
      </c>
      <c r="C6" s="2" t="s">
        <v>109</v>
      </c>
      <c r="D6" s="2" t="s">
        <v>119</v>
      </c>
      <c r="E6" s="2" t="str">
        <f ca="1">IFERROR(__xludf.DUMMYFUNCTION("GOOGLETRANSLATE(B6,""de"",""en"")"),"I use computer technology at work.")</f>
        <v>I use computer technology at work.</v>
      </c>
      <c r="F6" s="2" t="str">
        <f ca="1">IFERROR(__xludf.DUMMYFUNCTION("GOOGLETRANSLATE(D6,""de"",""en"")"),"['never', 'often']")</f>
        <v>['never', 'often']</v>
      </c>
    </row>
    <row r="7" spans="1:6" x14ac:dyDescent="0.2">
      <c r="A7" s="2" t="s">
        <v>117</v>
      </c>
      <c r="B7" s="2" t="s">
        <v>120</v>
      </c>
      <c r="C7" s="2" t="s">
        <v>109</v>
      </c>
      <c r="D7" s="2" t="s">
        <v>119</v>
      </c>
      <c r="E7" s="2" t="str">
        <f ca="1">IFERROR(__xludf.DUMMYFUNCTION("GOOGLETRANSLATE(B7,""de"",""en"")"),"I use computer technology in everyday life.")</f>
        <v>I use computer technology in everyday life.</v>
      </c>
      <c r="F7" s="2" t="str">
        <f ca="1">IFERROR(__xludf.DUMMYFUNCTION("GOOGLETRANSLATE(D7,""de"",""en"")"),"['never', 'often']")</f>
        <v>['never', 'often']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121</v>
      </c>
      <c r="B2" s="2" t="s">
        <v>122</v>
      </c>
      <c r="C2" s="2" t="s">
        <v>109</v>
      </c>
      <c r="D2" s="2" t="s">
        <v>110</v>
      </c>
      <c r="E2" s="2" t="str">
        <f ca="1">IFERROR(__xludf.DUMMYFUNCTION("GOOGLETRANSLATE(B2,""de"",""en"")"),"I get stressed when I have too much work and am under time pressure.")</f>
        <v>I get stressed when I have too much work and am under time pressure.</v>
      </c>
      <c r="F2" s="2" t="str">
        <f ca="1">IFERROR(__xludf.DUMMYFUNCTION("GOOGLETRANSLATE(D2,""de"",""en"")"),"['does not apply at all', 'completely applies']")</f>
        <v>['does not apply at all', 'completely applies']</v>
      </c>
    </row>
    <row r="3" spans="1:6" x14ac:dyDescent="0.2">
      <c r="A3" s="2" t="s">
        <v>121</v>
      </c>
      <c r="B3" s="2" t="s">
        <v>122</v>
      </c>
      <c r="C3" s="2" t="s">
        <v>109</v>
      </c>
      <c r="D3" s="2" t="s">
        <v>123</v>
      </c>
      <c r="E3" s="2" t="str">
        <f ca="1">IFERROR(__xludf.DUMMYFUNCTION("GOOGLETRANSLATE(B3,""de"",""en"")"),"I get stressed when I have too much work and am under time pressure.")</f>
        <v>I get stressed when I have too much work and am under time pressure.</v>
      </c>
      <c r="F3" s="2" t="str">
        <f ca="1">IFERROR(__xludf.DUMMYFUNCTION("GOOGLETRANSLATE(D3,""de"",""en"")"),"['doesn't occur at all in my everyday life', 'occurs very often in my everyday life']")</f>
        <v>['doesn't occur at all in my everyday life', 'occurs very often in my everyday life']</v>
      </c>
    </row>
    <row r="4" spans="1:6" x14ac:dyDescent="0.2">
      <c r="A4" s="2" t="s">
        <v>124</v>
      </c>
      <c r="B4" s="2" t="s">
        <v>125</v>
      </c>
      <c r="C4" s="2" t="s">
        <v>109</v>
      </c>
      <c r="D4" s="2" t="s">
        <v>110</v>
      </c>
      <c r="E4" s="2" t="str">
        <f ca="1">IFERROR(__xludf.DUMMYFUNCTION("GOOGLETRANSLATE(B4,""de"",""en"")"),"I get stressed when I have a lot of responsibility.")</f>
        <v>I get stressed when I have a lot of responsibility.</v>
      </c>
      <c r="F4" s="2" t="str">
        <f ca="1">IFERROR(__xludf.DUMMYFUNCTION("GOOGLETRANSLATE(D4,""de"",""en"")"),"['does not apply at all', 'completely applies']")</f>
        <v>['does not apply at all', 'completely applies']</v>
      </c>
    </row>
    <row r="5" spans="1:6" x14ac:dyDescent="0.2">
      <c r="A5" s="2" t="s">
        <v>124</v>
      </c>
      <c r="B5" s="2" t="s">
        <v>125</v>
      </c>
      <c r="C5" s="2" t="s">
        <v>109</v>
      </c>
      <c r="D5" s="2" t="s">
        <v>123</v>
      </c>
      <c r="E5" s="2" t="str">
        <f ca="1">IFERROR(__xludf.DUMMYFUNCTION("GOOGLETRANSLATE(B5,""de"",""en"")"),"I get stressed when I have a lot of responsibility.")</f>
        <v>I get stressed when I have a lot of responsibility.</v>
      </c>
      <c r="F5" s="2" t="str">
        <f ca="1">IFERROR(__xludf.DUMMYFUNCTION("GOOGLETRANSLATE(D5,""de"",""en"")"),"['doesn't occur at all in my everyday life', 'occurs very often in my everyday life']")</f>
        <v>['doesn't occur at all in my everyday life', 'occurs very often in my everyday life']</v>
      </c>
    </row>
    <row r="6" spans="1:6" x14ac:dyDescent="0.2">
      <c r="A6" s="2" t="s">
        <v>126</v>
      </c>
      <c r="B6" s="2" t="s">
        <v>127</v>
      </c>
      <c r="C6" s="2" t="s">
        <v>109</v>
      </c>
      <c r="D6" s="2" t="s">
        <v>110</v>
      </c>
      <c r="E6" s="2" t="str">
        <f ca="1">IFERROR(__xludf.DUMMYFUNCTION("GOOGLETRANSLATE(B6,""de"",""en"")"),"I get stressed when I always have the same work tasks.")</f>
        <v>I get stressed when I always have the same work tasks.</v>
      </c>
      <c r="F6" s="2" t="str">
        <f ca="1">IFERROR(__xludf.DUMMYFUNCTION("GOOGLETRANSLATE(D6,""de"",""en"")"),"['does not apply at all', 'completely applies']")</f>
        <v>['does not apply at all', 'completely applies']</v>
      </c>
    </row>
    <row r="7" spans="1:6" x14ac:dyDescent="0.2">
      <c r="A7" s="2" t="s">
        <v>126</v>
      </c>
      <c r="B7" s="2" t="s">
        <v>127</v>
      </c>
      <c r="C7" s="2" t="s">
        <v>109</v>
      </c>
      <c r="D7" s="2" t="s">
        <v>123</v>
      </c>
      <c r="E7" s="2" t="str">
        <f ca="1">IFERROR(__xludf.DUMMYFUNCTION("GOOGLETRANSLATE(B7,""de"",""en"")"),"I get stressed when I always have the same work tasks.")</f>
        <v>I get stressed when I always have the same work tasks.</v>
      </c>
      <c r="F7" s="2" t="str">
        <f ca="1">IFERROR(__xludf.DUMMYFUNCTION("GOOGLETRANSLATE(D7,""de"",""en"")"),"['doesn't occur at all in my everyday life', 'occurs very often in my everyday life']")</f>
        <v>['doesn't occur at all in my everyday life', 'occurs very often in my everyday life']</v>
      </c>
    </row>
    <row r="8" spans="1:6" x14ac:dyDescent="0.2">
      <c r="A8" s="2" t="s">
        <v>128</v>
      </c>
      <c r="B8" s="2" t="s">
        <v>129</v>
      </c>
      <c r="C8" s="2" t="s">
        <v>109</v>
      </c>
      <c r="D8" s="2" t="s">
        <v>110</v>
      </c>
      <c r="E8" s="2" t="str">
        <f ca="1">IFERROR(__xludf.DUMMYFUNCTION("GOOGLETRANSLATE(B8,""de"",""en"")"),"I get stressed when I don't get enough support because we don't have enough staff.")</f>
        <v>I get stressed when I don't get enough support because we don't have enough staff.</v>
      </c>
      <c r="F8" s="2" t="str">
        <f ca="1">IFERROR(__xludf.DUMMYFUNCTION("GOOGLETRANSLATE(D8,""de"",""en"")"),"['does not apply at all', 'completely applies']")</f>
        <v>['does not apply at all', 'completely applies']</v>
      </c>
    </row>
    <row r="9" spans="1:6" x14ac:dyDescent="0.2">
      <c r="A9" s="2" t="s">
        <v>128</v>
      </c>
      <c r="B9" s="2" t="s">
        <v>129</v>
      </c>
      <c r="C9" s="2" t="s">
        <v>109</v>
      </c>
      <c r="D9" s="2" t="s">
        <v>123</v>
      </c>
      <c r="E9" s="2" t="str">
        <f ca="1">IFERROR(__xludf.DUMMYFUNCTION("GOOGLETRANSLATE(B9,""de"",""en"")"),"I get stressed when I don't get enough support because we don't have enough staff.")</f>
        <v>I get stressed when I don't get enough support because we don't have enough staff.</v>
      </c>
      <c r="F9" s="2" t="str">
        <f ca="1">IFERROR(__xludf.DUMMYFUNCTION("GOOGLETRANSLATE(D9,""de"",""en"")"),"['doesn't occur at all in my everyday life', 'occurs very often in my everyday life']")</f>
        <v>['doesn't occur at all in my everyday life', 'occurs very often in my everyday life']</v>
      </c>
    </row>
    <row r="10" spans="1:6" x14ac:dyDescent="0.2">
      <c r="A10" s="2" t="s">
        <v>130</v>
      </c>
      <c r="B10" s="2" t="s">
        <v>131</v>
      </c>
      <c r="C10" s="2" t="s">
        <v>109</v>
      </c>
      <c r="D10" s="2" t="s">
        <v>110</v>
      </c>
      <c r="E10" s="2" t="str">
        <f ca="1">IFERROR(__xludf.DUMMYFUNCTION("GOOGLETRANSLATE(B10,""de"",""en"")"),"I get stressed when responsibilities and responsibilities are not clearly defined.")</f>
        <v>I get stressed when responsibilities and responsibilities are not clearly defined.</v>
      </c>
      <c r="F10" s="2" t="str">
        <f ca="1">IFERROR(__xludf.DUMMYFUNCTION("GOOGLETRANSLATE(D10,""de"",""en"")"),"['does not apply at all', 'completely applies']")</f>
        <v>['does not apply at all', 'completely applies']</v>
      </c>
    </row>
    <row r="11" spans="1:6" x14ac:dyDescent="0.2">
      <c r="A11" s="2" t="s">
        <v>130</v>
      </c>
      <c r="B11" s="2" t="s">
        <v>131</v>
      </c>
      <c r="C11" s="2" t="s">
        <v>109</v>
      </c>
      <c r="D11" s="2" t="s">
        <v>123</v>
      </c>
      <c r="E11" s="2" t="str">
        <f ca="1">IFERROR(__xludf.DUMMYFUNCTION("GOOGLETRANSLATE(B11,""de"",""en"")"),"I get stressed when responsibilities and responsibilities are not clearly defined.")</f>
        <v>I get stressed when responsibilities and responsibilities are not clearly defined.</v>
      </c>
      <c r="F11" s="2" t="str">
        <f ca="1">IFERROR(__xludf.DUMMYFUNCTION("GOOGLETRANSLATE(D11,""de"",""en"")"),"['doesn't occur at all in my everyday life', 'occurs very often in my everyday life']")</f>
        <v>['doesn't occur at all in my everyday life', 'occurs very often in my everyday life']</v>
      </c>
    </row>
    <row r="12" spans="1:6" x14ac:dyDescent="0.2">
      <c r="A12" s="2" t="s">
        <v>132</v>
      </c>
      <c r="B12" s="2" t="s">
        <v>133</v>
      </c>
      <c r="C12" s="2" t="s">
        <v>109</v>
      </c>
      <c r="D12" s="2" t="s">
        <v>110</v>
      </c>
      <c r="E12" s="2" t="str">
        <f ca="1">IFERROR(__xludf.DUMMYFUNCTION("GOOGLETRANSLATE(B12,""de"",""en"")"),"I get stressed when I receive contradictory instructions from one or more places.")</f>
        <v>I get stressed when I receive contradictory instructions from one or more places.</v>
      </c>
      <c r="F12" s="2" t="str">
        <f ca="1">IFERROR(__xludf.DUMMYFUNCTION("GOOGLETRANSLATE(D12,""de"",""en"")"),"['does not apply at all', 'completely applies']")</f>
        <v>['does not apply at all', 'completely applies']</v>
      </c>
    </row>
    <row r="13" spans="1:6" x14ac:dyDescent="0.2">
      <c r="A13" s="2" t="s">
        <v>132</v>
      </c>
      <c r="B13" s="2" t="s">
        <v>133</v>
      </c>
      <c r="C13" s="2" t="s">
        <v>109</v>
      </c>
      <c r="D13" s="2" t="s">
        <v>123</v>
      </c>
      <c r="E13" s="2" t="str">
        <f ca="1">IFERROR(__xludf.DUMMYFUNCTION("GOOGLETRANSLATE(B13,""de"",""en"")"),"I get stressed when I receive contradictory instructions from one or more places.")</f>
        <v>I get stressed when I receive contradictory instructions from one or more places.</v>
      </c>
      <c r="F13" s="2" t="str">
        <f ca="1">IFERROR(__xludf.DUMMYFUNCTION("GOOGLETRANSLATE(D13,""de"",""en"")"),"['doesn't occur at all in my everyday life', 'occurs very often in my everyday life']")</f>
        <v>['doesn't occur at all in my everyday life', 'occurs very often in my everyday life']</v>
      </c>
    </row>
    <row r="14" spans="1:6" x14ac:dyDescent="0.2">
      <c r="A14" s="2" t="s">
        <v>134</v>
      </c>
      <c r="B14" s="2" t="s">
        <v>135</v>
      </c>
      <c r="C14" s="2" t="s">
        <v>109</v>
      </c>
      <c r="D14" s="2" t="s">
        <v>110</v>
      </c>
      <c r="E14" s="2" t="str">
        <f ca="1">IFERROR(__xludf.DUMMYFUNCTION("GOOGLETRANSLATE(B14,""de"",""en"")"),"I get stressed when I can't plan or carry out my work independently.")</f>
        <v>I get stressed when I can't plan or carry out my work independently.</v>
      </c>
      <c r="F14" s="2" t="str">
        <f ca="1">IFERROR(__xludf.DUMMYFUNCTION("GOOGLETRANSLATE(D14,""de"",""en"")"),"['does not apply at all', 'completely applies']")</f>
        <v>['does not apply at all', 'completely applies']</v>
      </c>
    </row>
    <row r="15" spans="1:6" x14ac:dyDescent="0.2">
      <c r="A15" s="2" t="s">
        <v>134</v>
      </c>
      <c r="B15" s="2" t="s">
        <v>135</v>
      </c>
      <c r="C15" s="2" t="s">
        <v>109</v>
      </c>
      <c r="D15" s="2" t="s">
        <v>123</v>
      </c>
      <c r="E15" s="2" t="str">
        <f ca="1">IFERROR(__xludf.DUMMYFUNCTION("GOOGLETRANSLATE(B15,""de"",""en"")"),"I get stressed when I can't plan or carry out my work independently.")</f>
        <v>I get stressed when I can't plan or carry out my work independently.</v>
      </c>
      <c r="F15" s="2" t="str">
        <f ca="1">IFERROR(__xludf.DUMMYFUNCTION("GOOGLETRANSLATE(D15,""de"",""en"")"),"['doesn't occur at all in my everyday life', 'occurs very often in my everyday life']")</f>
        <v>['doesn't occur at all in my everyday life', 'occurs very often in my everyday life']</v>
      </c>
    </row>
    <row r="16" spans="1:6" x14ac:dyDescent="0.2">
      <c r="A16" s="2" t="s">
        <v>136</v>
      </c>
      <c r="B16" s="2" t="s">
        <v>137</v>
      </c>
      <c r="C16" s="2" t="s">
        <v>109</v>
      </c>
      <c r="D16" s="2" t="s">
        <v>110</v>
      </c>
      <c r="E16" s="2" t="str">
        <f ca="1">IFERROR(__xludf.DUMMYFUNCTION("GOOGLETRANSLATE(B16,""de"",""en"")"),"I get stressed when I find certain work steps to be inappropriate or too complicated.")</f>
        <v>I get stressed when I find certain work steps to be inappropriate or too complicated.</v>
      </c>
      <c r="F16" s="2" t="str">
        <f ca="1">IFERROR(__xludf.DUMMYFUNCTION("GOOGLETRANSLATE(D16,""de"",""en"")"),"['does not apply at all', 'completely applies']")</f>
        <v>['does not apply at all', 'completely applies']</v>
      </c>
    </row>
    <row r="17" spans="1:6" x14ac:dyDescent="0.2">
      <c r="A17" s="2" t="s">
        <v>136</v>
      </c>
      <c r="B17" s="2" t="s">
        <v>137</v>
      </c>
      <c r="C17" s="2" t="s">
        <v>109</v>
      </c>
      <c r="D17" s="2" t="s">
        <v>123</v>
      </c>
      <c r="E17" s="2" t="str">
        <f ca="1">IFERROR(__xludf.DUMMYFUNCTION("GOOGLETRANSLATE(B17,""de"",""en"")"),"I get stressed when I find certain work steps to be inappropriate or too complicated.")</f>
        <v>I get stressed when I find certain work steps to be inappropriate or too complicated.</v>
      </c>
      <c r="F17" s="2" t="str">
        <f ca="1">IFERROR(__xludf.DUMMYFUNCTION("GOOGLETRANSLATE(D17,""de"",""en"")"),"['doesn't occur at all in my everyday life', 'occurs very often in my everyday life']")</f>
        <v>['doesn't occur at all in my everyday life', 'occurs very often in my everyday life']</v>
      </c>
    </row>
    <row r="18" spans="1:6" x14ac:dyDescent="0.2">
      <c r="A18" s="2" t="s">
        <v>138</v>
      </c>
      <c r="B18" s="2" t="s">
        <v>139</v>
      </c>
      <c r="C18" s="2" t="s">
        <v>109</v>
      </c>
      <c r="D18" s="2" t="s">
        <v>110</v>
      </c>
      <c r="E18" s="2" t="str">
        <f ca="1">IFERROR(__xludf.DUMMYFUNCTION("GOOGLETRANSLATE(B18,""de"",""en"")"),"I get stressed when I depend on other people for my work.")</f>
        <v>I get stressed when I depend on other people for my work.</v>
      </c>
      <c r="F18" s="2" t="str">
        <f ca="1">IFERROR(__xludf.DUMMYFUNCTION("GOOGLETRANSLATE(D18,""de"",""en"")"),"['does not apply at all', 'completely applies']")</f>
        <v>['does not apply at all', 'completely applies']</v>
      </c>
    </row>
    <row r="19" spans="1:6" x14ac:dyDescent="0.2">
      <c r="A19" s="2" t="s">
        <v>138</v>
      </c>
      <c r="B19" s="2" t="s">
        <v>139</v>
      </c>
      <c r="C19" s="2" t="s">
        <v>109</v>
      </c>
      <c r="D19" s="2" t="s">
        <v>123</v>
      </c>
      <c r="E19" s="2" t="str">
        <f ca="1">IFERROR(__xludf.DUMMYFUNCTION("GOOGLETRANSLATE(B19,""de"",""en"")"),"I get stressed when I depend on other people for my work.")</f>
        <v>I get stressed when I depend on other people for my work.</v>
      </c>
      <c r="F19" s="2" t="str">
        <f ca="1">IFERROR(__xludf.DUMMYFUNCTION("GOOGLETRANSLATE(D19,""de"",""en"")"),"['doesn't occur at all in my everyday life', 'occurs very often in my everyday life']")</f>
        <v>['doesn't occur at all in my everyday life', 'occurs very often in my everyday life']</v>
      </c>
    </row>
    <row r="20" spans="1:6" x14ac:dyDescent="0.2">
      <c r="A20" s="2" t="s">
        <v>140</v>
      </c>
      <c r="B20" s="2" t="s">
        <v>141</v>
      </c>
      <c r="C20" s="2" t="s">
        <v>109</v>
      </c>
      <c r="D20" s="2" t="s">
        <v>110</v>
      </c>
      <c r="E20" s="2" t="str">
        <f ca="1">IFERROR(__xludf.DUMMYFUNCTION("GOOGLETRANSLATE(B20,""de"",""en"")"),"I get stressed when I don't have the information I need to do my job.")</f>
        <v>I get stressed when I don't have the information I need to do my job.</v>
      </c>
      <c r="F20" s="2" t="str">
        <f ca="1">IFERROR(__xludf.DUMMYFUNCTION("GOOGLETRANSLATE(D20,""de"",""en"")"),"['does not apply at all', 'completely applies']")</f>
        <v>['does not apply at all', 'completely applies']</v>
      </c>
    </row>
    <row r="21" spans="1:6" x14ac:dyDescent="0.2">
      <c r="A21" s="2" t="s">
        <v>140</v>
      </c>
      <c r="B21" s="2" t="s">
        <v>141</v>
      </c>
      <c r="C21" s="2" t="s">
        <v>109</v>
      </c>
      <c r="D21" s="2" t="s">
        <v>123</v>
      </c>
      <c r="E21" s="2" t="str">
        <f ca="1">IFERROR(__xludf.DUMMYFUNCTION("GOOGLETRANSLATE(B21,""de"",""en"")"),"I get stressed when I don't have the information I need to do my job.")</f>
        <v>I get stressed when I don't have the information I need to do my job.</v>
      </c>
      <c r="F21" s="2" t="str">
        <f ca="1">IFERROR(__xludf.DUMMYFUNCTION("GOOGLETRANSLATE(D21,""de"",""en"")"),"['doesn't occur at all in my everyday life', 'occurs very often in my everyday life']")</f>
        <v>['doesn't occur at all in my everyday life', 'occurs very often in my everyday life']</v>
      </c>
    </row>
    <row r="22" spans="1:6" x14ac:dyDescent="0.2">
      <c r="A22" s="2" t="s">
        <v>142</v>
      </c>
      <c r="B22" s="2" t="s">
        <v>143</v>
      </c>
      <c r="C22" s="2" t="s">
        <v>109</v>
      </c>
      <c r="D22" s="2" t="s">
        <v>110</v>
      </c>
      <c r="E22" s="2" t="str">
        <f ca="1">IFERROR(__xludf.DUMMYFUNCTION("GOOGLETRANSLATE(B22,""de"",""en"")"),"I get stressed when I keep getting interrupted while doing my actual work.")</f>
        <v>I get stressed when I keep getting interrupted while doing my actual work.</v>
      </c>
      <c r="F22" s="2" t="str">
        <f ca="1">IFERROR(__xludf.DUMMYFUNCTION("GOOGLETRANSLATE(D22,""de"",""en"")"),"['does not apply at all', 'completely applies']")</f>
        <v>['does not apply at all', 'completely applies']</v>
      </c>
    </row>
    <row r="23" spans="1:6" x14ac:dyDescent="0.2">
      <c r="A23" s="2" t="s">
        <v>142</v>
      </c>
      <c r="B23" s="2" t="s">
        <v>143</v>
      </c>
      <c r="C23" s="2" t="s">
        <v>109</v>
      </c>
      <c r="D23" s="2" t="s">
        <v>123</v>
      </c>
      <c r="E23" s="2" t="str">
        <f ca="1">IFERROR(__xludf.DUMMYFUNCTION("GOOGLETRANSLATE(B23,""de"",""en"")"),"I get stressed when I keep getting interrupted while doing my actual work.")</f>
        <v>I get stressed when I keep getting interrupted while doing my actual work.</v>
      </c>
      <c r="F23" s="2" t="str">
        <f ca="1">IFERROR(__xludf.DUMMYFUNCTION("GOOGLETRANSLATE(D23,""de"",""en"")"),"['doesn't occur at all in my everyday life', 'occurs very often in my everyday life']")</f>
        <v>['doesn't occur at all in my everyday life', 'occurs very often in my everyday life']</v>
      </c>
    </row>
    <row r="24" spans="1:6" x14ac:dyDescent="0.2">
      <c r="A24" s="2" t="s">
        <v>144</v>
      </c>
      <c r="B24" s="2" t="s">
        <v>145</v>
      </c>
      <c r="C24" s="2" t="s">
        <v>109</v>
      </c>
      <c r="D24" s="2" t="s">
        <v>110</v>
      </c>
      <c r="E24" s="2" t="str">
        <f ca="1">IFERROR(__xludf.DUMMYFUNCTION("GOOGLETRANSLATE(B24,""de"",""en"")"),"I get stressed when I am contacted via too many communication media and channels (telephone, cell phone, digital media (email, Teams, Skype, etc.).")</f>
        <v>I get stressed when I am contacted via too many communication media and channels (telephone, cell phone, digital media (email, Teams, Skype, etc.).</v>
      </c>
      <c r="F24" s="2" t="str">
        <f ca="1">IFERROR(__xludf.DUMMYFUNCTION("GOOGLETRANSLATE(D24,""de"",""en"")"),"['does not apply at all', 'completely applies']")</f>
        <v>['does not apply at all', 'completely applies']</v>
      </c>
    </row>
    <row r="25" spans="1:6" x14ac:dyDescent="0.2">
      <c r="A25" s="2" t="s">
        <v>144</v>
      </c>
      <c r="B25" s="2" t="s">
        <v>145</v>
      </c>
      <c r="C25" s="2" t="s">
        <v>109</v>
      </c>
      <c r="D25" s="2" t="s">
        <v>123</v>
      </c>
      <c r="E25" s="2" t="str">
        <f ca="1">IFERROR(__xludf.DUMMYFUNCTION("GOOGLETRANSLATE(B25,""de"",""en"")"),"I get stressed when I am contacted via too many communication media and channels (telephone, cell phone, digital media (email, Teams, Skype, etc.).")</f>
        <v>I get stressed when I am contacted via too many communication media and channels (telephone, cell phone, digital media (email, Teams, Skype, etc.).</v>
      </c>
      <c r="F25" s="2" t="str">
        <f ca="1">IFERROR(__xludf.DUMMYFUNCTION("GOOGLETRANSLATE(D25,""de"",""en"")"),"['doesn't occur at all in my everyday life', 'occurs very often in my everyday life']")</f>
        <v>['doesn't occur at all in my everyday life', 'occurs very often in my everyday life']</v>
      </c>
    </row>
    <row r="26" spans="1:6" x14ac:dyDescent="0.2">
      <c r="A26" s="2" t="s">
        <v>146</v>
      </c>
      <c r="B26" s="2" t="s">
        <v>147</v>
      </c>
      <c r="C26" s="2" t="s">
        <v>109</v>
      </c>
      <c r="D26" s="2" t="s">
        <v>110</v>
      </c>
      <c r="E26" s="2" t="str">
        <f ca="1">IFERROR(__xludf.DUMMYFUNCTION("GOOGLETRANSLATE(B26,""de"",""en"")"),"I get stressed when my manager doesn't involve me in the essential questions relating to my work.")</f>
        <v>I get stressed when my manager doesn't involve me in the essential questions relating to my work.</v>
      </c>
      <c r="F26" s="2" t="str">
        <f ca="1">IFERROR(__xludf.DUMMYFUNCTION("GOOGLETRANSLATE(D26,""de"",""en"")"),"['does not apply at all', 'completely applies']")</f>
        <v>['does not apply at all', 'completely applies']</v>
      </c>
    </row>
    <row r="27" spans="1:6" x14ac:dyDescent="0.2">
      <c r="A27" s="2" t="s">
        <v>146</v>
      </c>
      <c r="B27" s="2" t="s">
        <v>147</v>
      </c>
      <c r="C27" s="2" t="s">
        <v>109</v>
      </c>
      <c r="D27" s="2" t="s">
        <v>123</v>
      </c>
      <c r="E27" s="2" t="str">
        <f ca="1">IFERROR(__xludf.DUMMYFUNCTION("GOOGLETRANSLATE(B27,""de"",""en"")"),"I get stressed when my manager doesn't involve me in the essential questions relating to my work.")</f>
        <v>I get stressed when my manager doesn't involve me in the essential questions relating to my work.</v>
      </c>
      <c r="F27" s="2" t="str">
        <f ca="1">IFERROR(__xludf.DUMMYFUNCTION("GOOGLETRANSLATE(D27,""de"",""en"")"),"['doesn't occur at all in my everyday life', 'occurs very often in my everyday life']")</f>
        <v>['doesn't occur at all in my everyday life', 'occurs very often in my everyday life']</v>
      </c>
    </row>
    <row r="28" spans="1:6" x14ac:dyDescent="0.2">
      <c r="A28" s="2" t="s">
        <v>148</v>
      </c>
      <c r="B28" s="2" t="s">
        <v>149</v>
      </c>
      <c r="C28" s="2" t="s">
        <v>109</v>
      </c>
      <c r="D28" s="2" t="s">
        <v>110</v>
      </c>
      <c r="E28" s="2" t="str">
        <f ca="1">IFERROR(__xludf.DUMMYFUNCTION("GOOGLETRANSLATE(B28,""de"",""en"")"),"I get stressed when I don't get feedback from superiors about the quality of my work.")</f>
        <v>I get stressed when I don't get feedback from superiors about the quality of my work.</v>
      </c>
      <c r="F28" s="2" t="str">
        <f ca="1">IFERROR(__xludf.DUMMYFUNCTION("GOOGLETRANSLATE(D28,""de"",""en"")"),"['does not apply at all', 'completely applies']")</f>
        <v>['does not apply at all', 'completely applies']</v>
      </c>
    </row>
    <row r="29" spans="1:6" x14ac:dyDescent="0.2">
      <c r="A29" s="2" t="s">
        <v>148</v>
      </c>
      <c r="B29" s="2" t="s">
        <v>149</v>
      </c>
      <c r="C29" s="2" t="s">
        <v>109</v>
      </c>
      <c r="D29" s="2" t="s">
        <v>123</v>
      </c>
      <c r="E29" s="2" t="str">
        <f ca="1">IFERROR(__xludf.DUMMYFUNCTION("GOOGLETRANSLATE(B29,""de"",""en"")"),"I get stressed when I don't get feedback from superiors about the quality of my work.")</f>
        <v>I get stressed when I don't get feedback from superiors about the quality of my work.</v>
      </c>
      <c r="F29" s="2" t="str">
        <f ca="1">IFERROR(__xludf.DUMMYFUNCTION("GOOGLETRANSLATE(D29,""de"",""en"")"),"['doesn't occur at all in my everyday life', 'occurs very often in my everyday life']")</f>
        <v>['doesn't occur at all in my everyday life', 'occurs very often in my everyday life']</v>
      </c>
    </row>
    <row r="30" spans="1:6" x14ac:dyDescent="0.2">
      <c r="A30" s="2" t="s">
        <v>150</v>
      </c>
      <c r="B30" s="2" t="s">
        <v>151</v>
      </c>
      <c r="C30" s="2" t="s">
        <v>109</v>
      </c>
      <c r="D30" s="2" t="s">
        <v>110</v>
      </c>
      <c r="E30" s="2" t="str">
        <f ca="1">IFERROR(__xludf.DUMMYFUNCTION("GOOGLETRANSLATE(B30,""de"",""en"")"),"I get stressed when I have differences and conflicts with my manager.")</f>
        <v>I get stressed when I have differences and conflicts with my manager.</v>
      </c>
      <c r="F30" s="2" t="str">
        <f ca="1">IFERROR(__xludf.DUMMYFUNCTION("GOOGLETRANSLATE(D30,""de"",""en"")"),"['does not apply at all', 'completely applies']")</f>
        <v>['does not apply at all', 'completely applies']</v>
      </c>
    </row>
    <row r="31" spans="1:6" x14ac:dyDescent="0.2">
      <c r="A31" s="2" t="s">
        <v>150</v>
      </c>
      <c r="B31" s="2" t="s">
        <v>151</v>
      </c>
      <c r="C31" s="2" t="s">
        <v>109</v>
      </c>
      <c r="D31" s="2" t="s">
        <v>123</v>
      </c>
      <c r="E31" s="2" t="str">
        <f ca="1">IFERROR(__xludf.DUMMYFUNCTION("GOOGLETRANSLATE(B31,""de"",""en"")"),"I get stressed when I have differences and conflicts with my manager.")</f>
        <v>I get stressed when I have differences and conflicts with my manager.</v>
      </c>
      <c r="F31" s="2" t="str">
        <f ca="1">IFERROR(__xludf.DUMMYFUNCTION("GOOGLETRANSLATE(D31,""de"",""en"")"),"['doesn't occur at all in my everyday life', 'occurs very often in my everyday life']")</f>
        <v>['doesn't occur at all in my everyday life', 'occurs very often in my everyday life']</v>
      </c>
    </row>
    <row r="32" spans="1:6" x14ac:dyDescent="0.2">
      <c r="A32" s="2" t="s">
        <v>152</v>
      </c>
      <c r="B32" s="2" t="s">
        <v>153</v>
      </c>
      <c r="C32" s="2" t="s">
        <v>109</v>
      </c>
      <c r="D32" s="2" t="s">
        <v>110</v>
      </c>
      <c r="E32" s="2" t="str">
        <f ca="1">IFERROR(__xludf.DUMMYFUNCTION("GOOGLETRANSLATE(B32,""de"",""en"")"),"I get stressed when I don't get support or recognition from my manager.")</f>
        <v>I get stressed when I don't get support or recognition from my manager.</v>
      </c>
      <c r="F32" s="2" t="str">
        <f ca="1">IFERROR(__xludf.DUMMYFUNCTION("GOOGLETRANSLATE(D32,""de"",""en"")"),"['does not apply at all', 'completely applies']")</f>
        <v>['does not apply at all', 'completely applies']</v>
      </c>
    </row>
    <row r="33" spans="1:6" x14ac:dyDescent="0.2">
      <c r="A33" s="2" t="s">
        <v>152</v>
      </c>
      <c r="B33" s="2" t="s">
        <v>153</v>
      </c>
      <c r="C33" s="2" t="s">
        <v>109</v>
      </c>
      <c r="D33" s="2" t="s">
        <v>123</v>
      </c>
      <c r="E33" s="2" t="str">
        <f ca="1">IFERROR(__xludf.DUMMYFUNCTION("GOOGLETRANSLATE(B33,""de"",""en"")"),"I get stressed when I don't get support or recognition from my manager.")</f>
        <v>I get stressed when I don't get support or recognition from my manager.</v>
      </c>
      <c r="F33" s="2" t="str">
        <f ca="1">IFERROR(__xludf.DUMMYFUNCTION("GOOGLETRANSLATE(D33,""de"",""en"")"),"['doesn't occur at all in my everyday life', 'occurs very often in my everyday life']")</f>
        <v>['doesn't occur at all in my everyday life', 'occurs very often in my everyday life']</v>
      </c>
    </row>
    <row r="34" spans="1:6" x14ac:dyDescent="0.2">
      <c r="A34" s="2" t="s">
        <v>154</v>
      </c>
      <c r="B34" s="2" t="s">
        <v>155</v>
      </c>
      <c r="C34" s="2" t="s">
        <v>109</v>
      </c>
      <c r="D34" s="2" t="s">
        <v>110</v>
      </c>
      <c r="E34" s="2" t="str">
        <f ca="1">IFERROR(__xludf.DUMMYFUNCTION("GOOGLETRANSLATE(B34,""de"",""en"")"),"I get stressed when my manager controls me excessively.")</f>
        <v>I get stressed when my manager controls me excessively.</v>
      </c>
      <c r="F34" s="2" t="str">
        <f ca="1">IFERROR(__xludf.DUMMYFUNCTION("GOOGLETRANSLATE(D34,""de"",""en"")"),"['does not apply at all', 'completely applies']")</f>
        <v>['does not apply at all', 'completely applies']</v>
      </c>
    </row>
    <row r="35" spans="1:6" x14ac:dyDescent="0.2">
      <c r="A35" s="2" t="s">
        <v>154</v>
      </c>
      <c r="B35" s="2" t="s">
        <v>155</v>
      </c>
      <c r="C35" s="2" t="s">
        <v>109</v>
      </c>
      <c r="D35" s="2" t="s">
        <v>123</v>
      </c>
      <c r="E35" s="2" t="str">
        <f ca="1">IFERROR(__xludf.DUMMYFUNCTION("GOOGLETRANSLATE(B35,""de"",""en"")"),"I get stressed when my manager controls me excessively.")</f>
        <v>I get stressed when my manager controls me excessively.</v>
      </c>
      <c r="F35" s="2" t="str">
        <f ca="1">IFERROR(__xludf.DUMMYFUNCTION("GOOGLETRANSLATE(D35,""de"",""en"")"),"['doesn't occur at all in my everyday life', 'occurs very often in my everyday life']")</f>
        <v>['doesn't occur at all in my everyday life', 'occurs very often in my everyday life']</v>
      </c>
    </row>
    <row r="36" spans="1:6" x14ac:dyDescent="0.2">
      <c r="A36" s="2" t="s">
        <v>156</v>
      </c>
      <c r="B36" s="2" t="s">
        <v>157</v>
      </c>
      <c r="C36" s="2" t="s">
        <v>109</v>
      </c>
      <c r="D36" s="2" t="s">
        <v>110</v>
      </c>
      <c r="E36" s="2" t="str">
        <f ca="1">IFERROR(__xludf.DUMMYFUNCTION("GOOGLETRANSLATE(B36,""de"",""en"")"),"I get stressed when my manager doesn't have enough time (for discussions, decisions, etc.).")</f>
        <v>I get stressed when my manager doesn't have enough time (for discussions, decisions, etc.).</v>
      </c>
      <c r="F36" s="2" t="str">
        <f ca="1">IFERROR(__xludf.DUMMYFUNCTION("GOOGLETRANSLATE(D36,""de"",""en"")"),"['does not apply at all', 'completely applies']")</f>
        <v>['does not apply at all', 'completely applies']</v>
      </c>
    </row>
    <row r="37" spans="1:6" x14ac:dyDescent="0.2">
      <c r="A37" s="2" t="s">
        <v>156</v>
      </c>
      <c r="B37" s="2" t="s">
        <v>157</v>
      </c>
      <c r="C37" s="2" t="s">
        <v>109</v>
      </c>
      <c r="D37" s="2" t="s">
        <v>123</v>
      </c>
      <c r="E37" s="2" t="str">
        <f ca="1">IFERROR(__xludf.DUMMYFUNCTION("GOOGLETRANSLATE(B37,""de"",""en"")"),"I get stressed when my manager doesn't have enough time (for discussions, decisions, etc.).")</f>
        <v>I get stressed when my manager doesn't have enough time (for discussions, decisions, etc.).</v>
      </c>
      <c r="F37" s="2" t="str">
        <f ca="1">IFERROR(__xludf.DUMMYFUNCTION("GOOGLETRANSLATE(D37,""de"",""en"")"),"['doesn't occur at all in my everyday life', 'occurs very often in my everyday life']")</f>
        <v>['doesn't occur at all in my everyday life', 'occurs very often in my everyday life']</v>
      </c>
    </row>
    <row r="38" spans="1:6" x14ac:dyDescent="0.2">
      <c r="A38" s="2" t="s">
        <v>158</v>
      </c>
      <c r="B38" s="2" t="s">
        <v>159</v>
      </c>
      <c r="C38" s="2" t="s">
        <v>109</v>
      </c>
      <c r="D38" s="2" t="s">
        <v>110</v>
      </c>
      <c r="E38" s="2" t="str">
        <f ca="1">IFERROR(__xludf.DUMMYFUNCTION("GOOGLETRANSLATE(B38,""de"",""en"")"),"I get stressed when there are internal or external interface problems during the work process.")</f>
        <v>I get stressed when there are internal or external interface problems during the work process.</v>
      </c>
      <c r="F38" s="2" t="str">
        <f ca="1">IFERROR(__xludf.DUMMYFUNCTION("GOOGLETRANSLATE(D38,""de"",""en"")"),"['does not apply at all', 'completely applies']")</f>
        <v>['does not apply at all', 'completely applies']</v>
      </c>
    </row>
    <row r="39" spans="1:6" x14ac:dyDescent="0.2">
      <c r="A39" s="2" t="s">
        <v>158</v>
      </c>
      <c r="B39" s="2" t="s">
        <v>159</v>
      </c>
      <c r="C39" s="2" t="s">
        <v>109</v>
      </c>
      <c r="D39" s="2" t="s">
        <v>123</v>
      </c>
      <c r="E39" s="2" t="str">
        <f ca="1">IFERROR(__xludf.DUMMYFUNCTION("GOOGLETRANSLATE(B39,""de"",""en"")"),"I get stressed when there are internal or external interface problems during the work process.")</f>
        <v>I get stressed when there are internal or external interface problems during the work process.</v>
      </c>
      <c r="F39" s="2" t="str">
        <f ca="1">IFERROR(__xludf.DUMMYFUNCTION("GOOGLETRANSLATE(D39,""de"",""en"")"),"['doesn't occur at all in my everyday life', 'occurs very often in my everyday life']")</f>
        <v>['doesn't occur at all in my everyday life', 'occurs very often in my everyday life']</v>
      </c>
    </row>
    <row r="40" spans="1:6" x14ac:dyDescent="0.2">
      <c r="A40" s="2" t="s">
        <v>160</v>
      </c>
      <c r="B40" s="2" t="s">
        <v>161</v>
      </c>
      <c r="C40" s="2" t="s">
        <v>109</v>
      </c>
      <c r="D40" s="2" t="s">
        <v>110</v>
      </c>
      <c r="E40" s="2" t="str">
        <f ca="1">IFERROR(__xludf.DUMMYFUNCTION("GOOGLETRANSLATE(B40,""de"",""en"")"),"I get stressed when I don't get support or support from colleagues.")</f>
        <v>I get stressed when I don't get support or support from colleagues.</v>
      </c>
      <c r="F40" s="2" t="str">
        <f ca="1">IFERROR(__xludf.DUMMYFUNCTION("GOOGLETRANSLATE(D40,""de"",""en"")"),"['does not apply at all', 'completely applies']")</f>
        <v>['does not apply at all', 'completely applies']</v>
      </c>
    </row>
    <row r="41" spans="1:6" x14ac:dyDescent="0.2">
      <c r="A41" s="2" t="s">
        <v>160</v>
      </c>
      <c r="B41" s="2" t="s">
        <v>161</v>
      </c>
      <c r="C41" s="2" t="s">
        <v>109</v>
      </c>
      <c r="D41" s="2" t="s">
        <v>123</v>
      </c>
      <c r="E41" s="2" t="str">
        <f ca="1">IFERROR(__xludf.DUMMYFUNCTION("GOOGLETRANSLATE(B41,""de"",""en"")"),"I get stressed when I don't get support or support from colleagues.")</f>
        <v>I get stressed when I don't get support or support from colleagues.</v>
      </c>
      <c r="F41" s="2" t="str">
        <f ca="1">IFERROR(__xludf.DUMMYFUNCTION("GOOGLETRANSLATE(D41,""de"",""en"")"),"['doesn't occur at all in my everyday life', 'occurs very often in my everyday life']")</f>
        <v>['doesn't occur at all in my everyday life', 'occurs very often in my everyday life']</v>
      </c>
    </row>
    <row r="42" spans="1:6" x14ac:dyDescent="0.2">
      <c r="A42" s="2" t="s">
        <v>162</v>
      </c>
      <c r="B42" s="2" t="s">
        <v>163</v>
      </c>
      <c r="C42" s="2" t="s">
        <v>109</v>
      </c>
      <c r="D42" s="2" t="s">
        <v>110</v>
      </c>
      <c r="E42" s="2" t="str">
        <f ca="1">IFERROR(__xludf.DUMMYFUNCTION("GOOGLETRANSLATE(B42,""de"",""en"")"),"I get stressed when there are not enough opportunities to exchange ideas with colleagues.")</f>
        <v>I get stressed when there are not enough opportunities to exchange ideas with colleagues.</v>
      </c>
      <c r="F42" s="2" t="str">
        <f ca="1">IFERROR(__xludf.DUMMYFUNCTION("GOOGLETRANSLATE(D42,""de"",""en"")"),"['does not apply at all', 'completely applies']")</f>
        <v>['does not apply at all', 'completely applies']</v>
      </c>
    </row>
    <row r="43" spans="1:6" x14ac:dyDescent="0.2">
      <c r="A43" s="2" t="s">
        <v>162</v>
      </c>
      <c r="B43" s="2" t="s">
        <v>163</v>
      </c>
      <c r="C43" s="2" t="s">
        <v>109</v>
      </c>
      <c r="D43" s="2" t="s">
        <v>123</v>
      </c>
      <c r="E43" s="2" t="str">
        <f ca="1">IFERROR(__xludf.DUMMYFUNCTION("GOOGLETRANSLATE(B43,""de"",""en"")"),"I get stressed when there are not enough opportunities to exchange ideas with colleagues.")</f>
        <v>I get stressed when there are not enough opportunities to exchange ideas with colleagues.</v>
      </c>
      <c r="F43" s="2" t="str">
        <f ca="1">IFERROR(__xludf.DUMMYFUNCTION("GOOGLETRANSLATE(D43,""de"",""en"")"),"['doesn't occur at all in my everyday life', 'occurs very often in my everyday life']")</f>
        <v>['doesn't occur at all in my everyday life', 'occurs very often in my everyday life']</v>
      </c>
    </row>
    <row r="44" spans="1:6" x14ac:dyDescent="0.2">
      <c r="A44" s="2" t="s">
        <v>164</v>
      </c>
      <c r="B44" s="2" t="s">
        <v>165</v>
      </c>
      <c r="C44" s="2" t="s">
        <v>109</v>
      </c>
      <c r="D44" s="2" t="s">
        <v>110</v>
      </c>
      <c r="E44" s="2" t="str">
        <f ca="1">IFERROR(__xludf.DUMMYFUNCTION("GOOGLETRANSLATE(B44,""de"",""en"")"),"I get stressed when I have differences and conflicts with my colleagues or other departments.")</f>
        <v>I get stressed when I have differences and conflicts with my colleagues or other departments.</v>
      </c>
      <c r="F44" s="2" t="str">
        <f ca="1">IFERROR(__xludf.DUMMYFUNCTION("GOOGLETRANSLATE(D44,""de"",""en"")"),"['does not apply at all', 'completely applies']")</f>
        <v>['does not apply at all', 'completely applies']</v>
      </c>
    </row>
    <row r="45" spans="1:6" x14ac:dyDescent="0.2">
      <c r="A45" s="2" t="s">
        <v>164</v>
      </c>
      <c r="B45" s="2" t="s">
        <v>165</v>
      </c>
      <c r="C45" s="2" t="s">
        <v>109</v>
      </c>
      <c r="D45" s="2" t="s">
        <v>123</v>
      </c>
      <c r="E45" s="2" t="str">
        <f ca="1">IFERROR(__xludf.DUMMYFUNCTION("GOOGLETRANSLATE(B45,""de"",""en"")"),"I get stressed when I have differences and conflicts with my colleagues or other departments.")</f>
        <v>I get stressed when I have differences and conflicts with my colleagues or other departments.</v>
      </c>
      <c r="F45" s="2" t="str">
        <f ca="1">IFERROR(__xludf.DUMMYFUNCTION("GOOGLETRANSLATE(D45,""de"",""en"")"),"['doesn't occur at all in my everyday life', 'occurs very often in my everyday life']")</f>
        <v>['doesn't occur at all in my everyday life', 'occurs very often in my everyday life']</v>
      </c>
    </row>
    <row r="46" spans="1:6" x14ac:dyDescent="0.2">
      <c r="A46" s="2" t="s">
        <v>166</v>
      </c>
      <c r="B46" s="2" t="s">
        <v>167</v>
      </c>
      <c r="C46" s="2" t="s">
        <v>109</v>
      </c>
      <c r="D46" s="2" t="s">
        <v>110</v>
      </c>
      <c r="E46" s="2" t="str">
        <f ca="1">IFERROR(__xludf.DUMMYFUNCTION("GOOGLETRANSLATE(B46,""de"",""en"")"),"I get stressed when I am confronted with discrimination (culture, religion, gender, etc.) or tensions (age, gender, cultural differences, political views).")</f>
        <v>I get stressed when I am confronted with discrimination (culture, religion, gender, etc.) or tensions (age, gender, cultural differences, political views).</v>
      </c>
      <c r="F46" s="2" t="str">
        <f ca="1">IFERROR(__xludf.DUMMYFUNCTION("GOOGLETRANSLATE(D46,""de"",""en"")"),"['does not apply at all', 'completely applies']")</f>
        <v>['does not apply at all', 'completely applies']</v>
      </c>
    </row>
    <row r="47" spans="1:6" x14ac:dyDescent="0.2">
      <c r="A47" s="2" t="s">
        <v>166</v>
      </c>
      <c r="B47" s="2" t="s">
        <v>167</v>
      </c>
      <c r="C47" s="2" t="s">
        <v>109</v>
      </c>
      <c r="D47" s="2" t="s">
        <v>123</v>
      </c>
      <c r="E47" s="2" t="str">
        <f ca="1">IFERROR(__xludf.DUMMYFUNCTION("GOOGLETRANSLATE(B47,""de"",""en"")"),"I get stressed when I am confronted with discrimination (culture, religion, gender, etc.) or tensions (age, gender, cultural differences, political views).")</f>
        <v>I get stressed when I am confronted with discrimination (culture, religion, gender, etc.) or tensions (age, gender, cultural differences, political views).</v>
      </c>
      <c r="F47" s="2" t="str">
        <f ca="1">IFERROR(__xludf.DUMMYFUNCTION("GOOGLETRANSLATE(D47,""de"",""en"")"),"['doesn't occur at all in my everyday life', 'occurs very often in my everyday life']")</f>
        <v>['doesn't occur at all in my everyday life', 'occurs very often in my everyday life']</v>
      </c>
    </row>
    <row r="48" spans="1:6" x14ac:dyDescent="0.2">
      <c r="A48" s="2" t="s">
        <v>168</v>
      </c>
      <c r="B48" s="2" t="s">
        <v>169</v>
      </c>
      <c r="C48" s="2" t="s">
        <v>109</v>
      </c>
      <c r="D48" s="2" t="s">
        <v>110</v>
      </c>
      <c r="E48" s="2" t="str">
        <f ca="1">IFERROR(__xludf.DUMMYFUNCTION("GOOGLETRANSLATE(B48,""de"",""en"")"),"I get stressed when I can't bring in suggestions and ideas or they aren't heard and taken into account.")</f>
        <v>I get stressed when I can't bring in suggestions and ideas or they aren't heard and taken into account.</v>
      </c>
      <c r="F48" s="2" t="str">
        <f ca="1">IFERROR(__xludf.DUMMYFUNCTION("GOOGLETRANSLATE(D48,""de"",""en"")"),"['does not apply at all', 'completely applies']")</f>
        <v>['does not apply at all', 'completely applies']</v>
      </c>
    </row>
    <row r="49" spans="1:6" x14ac:dyDescent="0.2">
      <c r="A49" s="2" t="s">
        <v>168</v>
      </c>
      <c r="B49" s="2" t="s">
        <v>169</v>
      </c>
      <c r="C49" s="2" t="s">
        <v>109</v>
      </c>
      <c r="D49" s="2" t="s">
        <v>123</v>
      </c>
      <c r="E49" s="2" t="str">
        <f ca="1">IFERROR(__xludf.DUMMYFUNCTION("GOOGLETRANSLATE(B49,""de"",""en"")"),"I get stressed when I can't bring in suggestions and ideas or they aren't heard and taken into account.")</f>
        <v>I get stressed when I can't bring in suggestions and ideas or they aren't heard and taken into account.</v>
      </c>
      <c r="F49" s="2" t="str">
        <f ca="1">IFERROR(__xludf.DUMMYFUNCTION("GOOGLETRANSLATE(D49,""de"",""en"")"),"['doesn't occur at all in my everyday life', 'occurs very often in my everyday life']")</f>
        <v>['doesn't occur at all in my everyday life', 'occurs very often in my everyday life']</v>
      </c>
    </row>
    <row r="50" spans="1:6" x14ac:dyDescent="0.2">
      <c r="A50" s="2" t="s">
        <v>170</v>
      </c>
      <c r="B50" s="2" t="s">
        <v>171</v>
      </c>
      <c r="C50" s="2" t="s">
        <v>109</v>
      </c>
      <c r="D50" s="2" t="s">
        <v>110</v>
      </c>
      <c r="E50" s="2" t="str">
        <f ca="1">IFERROR(__xludf.DUMMYFUNCTION("GOOGLETRANSLATE(B50,""de"",""en"")"),"I get stressed when the work equipment I need is not available to me or there are problems with it (e.g. software, tools; inadequate safety standards, etc.).")</f>
        <v>I get stressed when the work equipment I need is not available to me or there are problems with it (e.g. software, tools; inadequate safety standards, etc.).</v>
      </c>
      <c r="F50" s="2" t="str">
        <f ca="1">IFERROR(__xludf.DUMMYFUNCTION("GOOGLETRANSLATE(D50,""de"",""en"")"),"['does not apply at all', 'completely applies']")</f>
        <v>['does not apply at all', 'completely applies']</v>
      </c>
    </row>
    <row r="51" spans="1:6" x14ac:dyDescent="0.2">
      <c r="A51" s="2" t="s">
        <v>170</v>
      </c>
      <c r="B51" s="2" t="s">
        <v>171</v>
      </c>
      <c r="C51" s="2" t="s">
        <v>109</v>
      </c>
      <c r="D51" s="2" t="s">
        <v>123</v>
      </c>
      <c r="E51" s="2" t="str">
        <f ca="1">IFERROR(__xludf.DUMMYFUNCTION("GOOGLETRANSLATE(B51,""de"",""en"")"),"I get stressed when the work equipment I need is not available to me or there are problems with it (e.g. software, tools; inadequate safety standards, etc.).")</f>
        <v>I get stressed when the work equipment I need is not available to me or there are problems with it (e.g. software, tools; inadequate safety standards, etc.).</v>
      </c>
      <c r="F51" s="2" t="str">
        <f ca="1">IFERROR(__xludf.DUMMYFUNCTION("GOOGLETRANSLATE(D51,""de"",""en"")"),"['doesn't occur at all in my everyday life', 'occurs very often in my everyday life']")</f>
        <v>['doesn't occur at all in my everyday life', 'occurs very often in my everyday life']</v>
      </c>
    </row>
    <row r="52" spans="1:6" x14ac:dyDescent="0.2">
      <c r="A52" s="2" t="s">
        <v>172</v>
      </c>
      <c r="B52" s="2" t="s">
        <v>173</v>
      </c>
      <c r="C52" s="2" t="s">
        <v>109</v>
      </c>
      <c r="D52" s="2" t="s">
        <v>110</v>
      </c>
      <c r="E52" s="2" t="str">
        <f ca="1">IFERROR(__xludf.DUMMYFUNCTION("GOOGLETRANSLATE(B52,""de"",""en"")"),"I get stressed when my working conditions affect me due to excessive noise, heat, cold, wetness.")</f>
        <v>I get stressed when my working conditions affect me due to excessive noise, heat, cold, wetness.</v>
      </c>
      <c r="F52" s="2" t="str">
        <f ca="1">IFERROR(__xludf.DUMMYFUNCTION("GOOGLETRANSLATE(D52,""de"",""en"")"),"['does not apply at all', 'completely applies']")</f>
        <v>['does not apply at all', 'completely applies']</v>
      </c>
    </row>
    <row r="53" spans="1:6" x14ac:dyDescent="0.2">
      <c r="A53" s="2" t="s">
        <v>172</v>
      </c>
      <c r="B53" s="2" t="s">
        <v>173</v>
      </c>
      <c r="C53" s="2" t="s">
        <v>109</v>
      </c>
      <c r="D53" s="2" t="s">
        <v>123</v>
      </c>
      <c r="E53" s="2" t="str">
        <f ca="1">IFERROR(__xludf.DUMMYFUNCTION("GOOGLETRANSLATE(B53,""de"",""en"")"),"I get stressed when my working conditions affect me due to excessive noise, heat, cold, wetness.")</f>
        <v>I get stressed when my working conditions affect me due to excessive noise, heat, cold, wetness.</v>
      </c>
      <c r="F53" s="2" t="str">
        <f ca="1">IFERROR(__xludf.DUMMYFUNCTION("GOOGLETRANSLATE(D53,""de"",""en"")"),"['doesn't occur at all in my everyday life', 'occurs very often in my everyday life']")</f>
        <v>['doesn't occur at all in my everyday life', 'occurs very often in my everyday life']</v>
      </c>
    </row>
    <row r="54" spans="1:6" x14ac:dyDescent="0.2">
      <c r="A54" s="2" t="s">
        <v>174</v>
      </c>
      <c r="B54" s="2" t="s">
        <v>175</v>
      </c>
      <c r="C54" s="2" t="s">
        <v>109</v>
      </c>
      <c r="D54" s="2" t="s">
        <v>110</v>
      </c>
      <c r="E54" s="2" t="str">
        <f ca="1">IFERROR(__xludf.DUMMYFUNCTION("GOOGLETRANSLATE(B54,""de"",""en"")"),"I get stressed when I have to worry about injuries, accidents or other physical dangers at work.")</f>
        <v>I get stressed when I have to worry about injuries, accidents or other physical dangers at work.</v>
      </c>
      <c r="F54" s="2" t="str">
        <f ca="1">IFERROR(__xludf.DUMMYFUNCTION("GOOGLETRANSLATE(D54,""de"",""en"")"),"['does not apply at all', 'completely applies']")</f>
        <v>['does not apply at all', 'completely applies']</v>
      </c>
    </row>
    <row r="55" spans="1:6" x14ac:dyDescent="0.2">
      <c r="A55" s="2" t="s">
        <v>174</v>
      </c>
      <c r="B55" s="2" t="s">
        <v>175</v>
      </c>
      <c r="C55" s="2" t="s">
        <v>109</v>
      </c>
      <c r="D55" s="2" t="s">
        <v>123</v>
      </c>
      <c r="E55" s="2" t="str">
        <f ca="1">IFERROR(__xludf.DUMMYFUNCTION("GOOGLETRANSLATE(B55,""de"",""en"")"),"I get stressed when I have to worry about injuries, accidents or other physical dangers at work.")</f>
        <v>I get stressed when I have to worry about injuries, accidents or other physical dangers at work.</v>
      </c>
      <c r="F55" s="2" t="str">
        <f ca="1">IFERROR(__xludf.DUMMYFUNCTION("GOOGLETRANSLATE(D55,""de"",""en"")"),"['doesn't occur at all in my everyday life', 'occurs very often in my everyday life']")</f>
        <v>['doesn't occur at all in my everyday life', 'occurs very often in my everyday life']</v>
      </c>
    </row>
    <row r="56" spans="1:6" x14ac:dyDescent="0.2">
      <c r="A56" s="2" t="s">
        <v>176</v>
      </c>
      <c r="B56" s="2" t="s">
        <v>177</v>
      </c>
      <c r="C56" s="2" t="s">
        <v>109</v>
      </c>
      <c r="D56" s="2" t="s">
        <v>110</v>
      </c>
      <c r="E56" s="2" t="str">
        <f ca="1">IFERROR(__xludf.DUMMYFUNCTION("GOOGLETRANSLATE(B56,""de"",""en"")"),"I get stressed when there is no sufficient balance between work and free time (e.g. constant availability).")</f>
        <v>I get stressed when there is no sufficient balance between work and free time (e.g. constant availability).</v>
      </c>
      <c r="F56" s="2" t="str">
        <f ca="1">IFERROR(__xludf.DUMMYFUNCTION("GOOGLETRANSLATE(D56,""de"",""en"")"),"['does not apply at all', 'completely applies']")</f>
        <v>['does not apply at all', 'completely applies']</v>
      </c>
    </row>
    <row r="57" spans="1:6" x14ac:dyDescent="0.2">
      <c r="A57" s="2" t="s">
        <v>176</v>
      </c>
      <c r="B57" s="2" t="s">
        <v>177</v>
      </c>
      <c r="C57" s="2" t="s">
        <v>109</v>
      </c>
      <c r="D57" s="2" t="s">
        <v>123</v>
      </c>
      <c r="E57" s="2" t="str">
        <f ca="1">IFERROR(__xludf.DUMMYFUNCTION("GOOGLETRANSLATE(B57,""de"",""en"")"),"I get stressed when there is no sufficient balance between work and free time (e.g. constant availability).")</f>
        <v>I get stressed when there is no sufficient balance between work and free time (e.g. constant availability).</v>
      </c>
      <c r="F57" s="2" t="str">
        <f ca="1">IFERROR(__xludf.DUMMYFUNCTION("GOOGLETRANSLATE(D57,""de"",""en"")"),"['doesn't occur at all in my everyday life', 'occurs very often in my everyday life']")</f>
        <v>['doesn't occur at all in my everyday life', 'occurs very often in my everyday life']</v>
      </c>
    </row>
    <row r="58" spans="1:6" x14ac:dyDescent="0.2">
      <c r="A58" s="2" t="s">
        <v>178</v>
      </c>
      <c r="B58" s="2" t="s">
        <v>179</v>
      </c>
      <c r="C58" s="2" t="s">
        <v>109</v>
      </c>
      <c r="D58" s="2" t="s">
        <v>110</v>
      </c>
      <c r="E58" s="2" t="str">
        <f ca="1">IFERROR(__xludf.DUMMYFUNCTION("GOOGLETRANSLATE(B58,""de"",""en"")"),"I get stressed when I don't have enough breaks.")</f>
        <v>I get stressed when I don't have enough breaks.</v>
      </c>
      <c r="F58" s="2" t="str">
        <f ca="1">IFERROR(__xludf.DUMMYFUNCTION("GOOGLETRANSLATE(D58,""de"",""en"")"),"['does not apply at all', 'completely applies']")</f>
        <v>['does not apply at all', 'completely applies']</v>
      </c>
    </row>
    <row r="59" spans="1:6" x14ac:dyDescent="0.2">
      <c r="A59" s="2" t="s">
        <v>178</v>
      </c>
      <c r="B59" s="2" t="s">
        <v>179</v>
      </c>
      <c r="C59" s="2" t="s">
        <v>109</v>
      </c>
      <c r="D59" s="2" t="s">
        <v>123</v>
      </c>
      <c r="E59" s="2" t="str">
        <f ca="1">IFERROR(__xludf.DUMMYFUNCTION("GOOGLETRANSLATE(B59,""de"",""en"")"),"I get stressed when I don't have enough breaks.")</f>
        <v>I get stressed when I don't have enough breaks.</v>
      </c>
      <c r="F59" s="2" t="str">
        <f ca="1">IFERROR(__xludf.DUMMYFUNCTION("GOOGLETRANSLATE(D59,""de"",""en"")"),"['doesn't occur at all in my everyday life', 'occurs very often in my everyday life']")</f>
        <v>['doesn't occur at all in my everyday life', 'occurs very often in my everyday life']</v>
      </c>
    </row>
    <row r="60" spans="1:6" x14ac:dyDescent="0.2">
      <c r="A60" s="2" t="s">
        <v>180</v>
      </c>
      <c r="B60" s="2" t="s">
        <v>181</v>
      </c>
      <c r="C60" s="2" t="s">
        <v>109</v>
      </c>
      <c r="D60" s="2" t="s">
        <v>110</v>
      </c>
      <c r="E60" s="2" t="str">
        <f ca="1">IFERROR(__xludf.DUMMYFUNCTION("GOOGLETRANSLATE(B60,""de"",""en"")"),"I get stressed when I don't think certain decisions make sense or I can't share them with my values.")</f>
        <v>I get stressed when I don't think certain decisions make sense or I can't share them with my values.</v>
      </c>
      <c r="F60" s="2" t="str">
        <f ca="1">IFERROR(__xludf.DUMMYFUNCTION("GOOGLETRANSLATE(D60,""de"",""en"")"),"['does not apply at all', 'completely applies']")</f>
        <v>['does not apply at all', 'completely applies']</v>
      </c>
    </row>
    <row r="61" spans="1:6" x14ac:dyDescent="0.2">
      <c r="A61" s="2" t="s">
        <v>180</v>
      </c>
      <c r="B61" s="2" t="s">
        <v>181</v>
      </c>
      <c r="C61" s="2" t="s">
        <v>109</v>
      </c>
      <c r="D61" s="2" t="s">
        <v>123</v>
      </c>
      <c r="E61" s="2" t="str">
        <f ca="1">IFERROR(__xludf.DUMMYFUNCTION("GOOGLETRANSLATE(B61,""de"",""en"")"),"I get stressed when I don't think certain decisions make sense or I can't share them with my values.")</f>
        <v>I get stressed when I don't think certain decisions make sense or I can't share them with my values.</v>
      </c>
      <c r="F61" s="2" t="str">
        <f ca="1">IFERROR(__xludf.DUMMYFUNCTION("GOOGLETRANSLATE(D61,""de"",""en"")"),"['doesn't occur at all in my everyday life', 'occurs very often in my everyday life']")</f>
        <v>['doesn't occur at all in my everyday life', 'occurs very often in my everyday life']</v>
      </c>
    </row>
    <row r="62" spans="1:6" x14ac:dyDescent="0.2">
      <c r="A62" s="2" t="s">
        <v>182</v>
      </c>
      <c r="B62" s="2" t="s">
        <v>183</v>
      </c>
      <c r="C62" s="2" t="s">
        <v>109</v>
      </c>
      <c r="D62" s="2" t="s">
        <v>110</v>
      </c>
      <c r="E62" s="2" t="str">
        <f ca="1">IFERROR(__xludf.DUMMYFUNCTION("GOOGLETRANSLATE(B62,""de"",""en"")"),"I get stressed when I have to worry about my job (layoffs, downsizing, site security, etc.).")</f>
        <v>I get stressed when I have to worry about my job (layoffs, downsizing, site security, etc.).</v>
      </c>
      <c r="F62" s="2" t="str">
        <f ca="1">IFERROR(__xludf.DUMMYFUNCTION("GOOGLETRANSLATE(D62,""de"",""en"")"),"['does not apply at all', 'completely applies']")</f>
        <v>['does not apply at all', 'completely applies']</v>
      </c>
    </row>
    <row r="63" spans="1:6" x14ac:dyDescent="0.2">
      <c r="A63" s="2" t="s">
        <v>182</v>
      </c>
      <c r="B63" s="2" t="s">
        <v>183</v>
      </c>
      <c r="C63" s="2" t="s">
        <v>109</v>
      </c>
      <c r="D63" s="2" t="s">
        <v>123</v>
      </c>
      <c r="E63" s="2" t="str">
        <f ca="1">IFERROR(__xludf.DUMMYFUNCTION("GOOGLETRANSLATE(B63,""de"",""en"")"),"I get stressed when I have to worry about my job (layoffs, downsizing, site security, etc.).")</f>
        <v>I get stressed when I have to worry about my job (layoffs, downsizing, site security, etc.).</v>
      </c>
      <c r="F63" s="2" t="str">
        <f ca="1">IFERROR(__xludf.DUMMYFUNCTION("GOOGLETRANSLATE(D63,""de"",""en"")"),"['doesn't occur at all in my everyday life', 'occurs very often in my everyday life']")</f>
        <v>['doesn't occur at all in my everyday life', 'occurs very often in my everyday life']</v>
      </c>
    </row>
    <row r="64" spans="1:6" x14ac:dyDescent="0.2">
      <c r="A64" s="2" t="s">
        <v>184</v>
      </c>
      <c r="B64" s="2" t="s">
        <v>185</v>
      </c>
      <c r="C64" s="2" t="s">
        <v>109</v>
      </c>
      <c r="D64" s="2" t="s">
        <v>110</v>
      </c>
      <c r="E64" s="2" t="str">
        <f ca="1">IFERROR(__xludf.DUMMYFUNCTION("GOOGLETRANSLATE(B64,""de"",""en"")"),"I get stressed when my work brings me less and less joy and satisfaction.")</f>
        <v>I get stressed when my work brings me less and less joy and satisfaction.</v>
      </c>
      <c r="F64" s="2" t="str">
        <f ca="1">IFERROR(__xludf.DUMMYFUNCTION("GOOGLETRANSLATE(D64,""de"",""en"")"),"['does not apply at all', 'completely applies']")</f>
        <v>['does not apply at all', 'completely applies']</v>
      </c>
    </row>
    <row r="65" spans="1:6" x14ac:dyDescent="0.2">
      <c r="A65" s="2" t="s">
        <v>184</v>
      </c>
      <c r="B65" s="2" t="s">
        <v>185</v>
      </c>
      <c r="C65" s="2" t="s">
        <v>109</v>
      </c>
      <c r="D65" s="2" t="s">
        <v>123</v>
      </c>
      <c r="E65" s="2" t="str">
        <f ca="1">IFERROR(__xludf.DUMMYFUNCTION("GOOGLETRANSLATE(B65,""de"",""en"")"),"I get stressed when my work brings me less and less joy and satisfaction.")</f>
        <v>I get stressed when my work brings me less and less joy and satisfaction.</v>
      </c>
      <c r="F65" s="2" t="str">
        <f ca="1">IFERROR(__xludf.DUMMYFUNCTION("GOOGLETRANSLATE(D65,""de"",""en"")"),"['doesn't occur at all in my everyday life', 'occurs very often in my everyday life']")</f>
        <v>['doesn't occur at all in my everyday life', 'occurs very often in my everyday life']</v>
      </c>
    </row>
    <row r="66" spans="1:6" x14ac:dyDescent="0.2">
      <c r="A66" s="2" t="s">
        <v>186</v>
      </c>
      <c r="B66" s="2" t="s">
        <v>187</v>
      </c>
      <c r="C66" s="2" t="s">
        <v>109</v>
      </c>
      <c r="D66" s="2" t="s">
        <v>110</v>
      </c>
      <c r="E66" s="2" t="str">
        <f ca="1">IFERROR(__xludf.DUMMYFUNCTION("GOOGLETRANSLATE(B66,""de"",""en"")"),"I get stressed when I don't see my knowledge and skills being challenged.")</f>
        <v>I get stressed when I don't see my knowledge and skills being challenged.</v>
      </c>
      <c r="F66" s="2" t="str">
        <f ca="1">IFERROR(__xludf.DUMMYFUNCTION("GOOGLETRANSLATE(D66,""de"",""en"")"),"['does not apply at all', 'completely applies']")</f>
        <v>['does not apply at all', 'completely applies']</v>
      </c>
    </row>
    <row r="67" spans="1:6" x14ac:dyDescent="0.2">
      <c r="A67" s="2" t="s">
        <v>186</v>
      </c>
      <c r="B67" s="2" t="s">
        <v>187</v>
      </c>
      <c r="C67" s="2" t="s">
        <v>109</v>
      </c>
      <c r="D67" s="2" t="s">
        <v>123</v>
      </c>
      <c r="E67" s="2" t="str">
        <f ca="1">IFERROR(__xludf.DUMMYFUNCTION("GOOGLETRANSLATE(B67,""de"",""en"")"),"I get stressed when I don't see my knowledge and skills being challenged.")</f>
        <v>I get stressed when I don't see my knowledge and skills being challenged.</v>
      </c>
      <c r="F67" s="2" t="str">
        <f ca="1">IFERROR(__xludf.DUMMYFUNCTION("GOOGLETRANSLATE(D67,""de"",""en"")"),"['doesn't occur at all in my everyday life', 'occurs very often in my everyday life']")</f>
        <v>['doesn't occur at all in my everyday life', 'occurs very often in my everyday life']</v>
      </c>
    </row>
    <row r="68" spans="1:6" x14ac:dyDescent="0.2">
      <c r="A68" s="2" t="s">
        <v>188</v>
      </c>
      <c r="B68" s="2" t="s">
        <v>189</v>
      </c>
      <c r="C68" s="2" t="s">
        <v>109</v>
      </c>
      <c r="D68" s="2" t="s">
        <v>110</v>
      </c>
      <c r="E68" s="2" t="str">
        <f ca="1">IFERROR(__xludf.DUMMYFUNCTION("GOOGLETRANSLATE(B68,""de"",""en"")"),"I get stressed when I don't have opportunities to further my education.")</f>
        <v>I get stressed when I don't have opportunities to further my education.</v>
      </c>
      <c r="F68" s="2" t="str">
        <f ca="1">IFERROR(__xludf.DUMMYFUNCTION("GOOGLETRANSLATE(D68,""de"",""en"")"),"['does not apply at all', 'completely applies']")</f>
        <v>['does not apply at all', 'completely applies']</v>
      </c>
    </row>
    <row r="69" spans="1:6" x14ac:dyDescent="0.2">
      <c r="A69" s="2" t="s">
        <v>188</v>
      </c>
      <c r="B69" s="2" t="s">
        <v>189</v>
      </c>
      <c r="C69" s="2" t="s">
        <v>109</v>
      </c>
      <c r="D69" s="2" t="s">
        <v>123</v>
      </c>
      <c r="E69" s="2" t="str">
        <f ca="1">IFERROR(__xludf.DUMMYFUNCTION("GOOGLETRANSLATE(B69,""de"",""en"")"),"I get stressed when I don't have opportunities to further my education.")</f>
        <v>I get stressed when I don't have opportunities to further my education.</v>
      </c>
      <c r="F69" s="2" t="str">
        <f ca="1">IFERROR(__xludf.DUMMYFUNCTION("GOOGLETRANSLATE(D69,""de"",""en"")"),"['doesn't occur at all in my everyday life', 'occurs very often in my everyday life']")</f>
        <v>['doesn't occur at all in my everyday life', 'occurs very often in my everyday life']</v>
      </c>
    </row>
    <row r="70" spans="1:6" x14ac:dyDescent="0.2">
      <c r="A70" s="2" t="s">
        <v>190</v>
      </c>
      <c r="B70" s="2" t="s">
        <v>191</v>
      </c>
      <c r="C70" s="2" t="s">
        <v>109</v>
      </c>
      <c r="D70" s="2" t="s">
        <v>110</v>
      </c>
      <c r="E70" s="2" t="str">
        <f ca="1">IFERROR(__xludf.DUMMYFUNCTION("GOOGLETRANSLATE(B70,""de"",""en"")"),"I get stressed when there are no opportunities for advancement.")</f>
        <v>I get stressed when there are no opportunities for advancement.</v>
      </c>
      <c r="F70" s="2" t="str">
        <f ca="1">IFERROR(__xludf.DUMMYFUNCTION("GOOGLETRANSLATE(D70,""de"",""en"")"),"['does not apply at all', 'completely applies']")</f>
        <v>['does not apply at all', 'completely applies']</v>
      </c>
    </row>
    <row r="71" spans="1:6" x14ac:dyDescent="0.2">
      <c r="A71" s="2" t="s">
        <v>190</v>
      </c>
      <c r="B71" s="2" t="s">
        <v>191</v>
      </c>
      <c r="C71" s="2" t="s">
        <v>109</v>
      </c>
      <c r="D71" s="2" t="s">
        <v>123</v>
      </c>
      <c r="E71" s="2" t="str">
        <f ca="1">IFERROR(__xludf.DUMMYFUNCTION("GOOGLETRANSLATE(B71,""de"",""en"")"),"I get stressed when there are no opportunities for advancement.")</f>
        <v>I get stressed when there are no opportunities for advancement.</v>
      </c>
      <c r="F71" s="2" t="str">
        <f ca="1">IFERROR(__xludf.DUMMYFUNCTION("GOOGLETRANSLATE(D71,""de"",""en"")"),"['doesn't occur at all in my everyday life', 'occurs very often in my everyday life']")</f>
        <v>['doesn't occur at all in my everyday life', 'occurs very often in my everyday life']</v>
      </c>
    </row>
    <row r="72" spans="1:6" x14ac:dyDescent="0.2">
      <c r="A72" s="2" t="s">
        <v>192</v>
      </c>
      <c r="B72" s="2" t="s">
        <v>193</v>
      </c>
      <c r="C72" s="2" t="s">
        <v>109</v>
      </c>
      <c r="D72" s="2" t="s">
        <v>110</v>
      </c>
      <c r="E72" s="2" t="str">
        <f ca="1">IFERROR(__xludf.DUMMYFUNCTION("GOOGLETRANSLATE(B72,""de"",""en"")"),"I get stressed when I have to wait in a line (e.g. at a department store).")</f>
        <v>I get stressed when I have to wait in a line (e.g. at a department store).</v>
      </c>
      <c r="F72" s="2" t="str">
        <f ca="1">IFERROR(__xludf.DUMMYFUNCTION("GOOGLETRANSLATE(D72,""de"",""en"")"),"['does not apply at all', 'completely applies']")</f>
        <v>['does not apply at all', 'completely applies']</v>
      </c>
    </row>
    <row r="73" spans="1:6" x14ac:dyDescent="0.2">
      <c r="A73" s="2" t="s">
        <v>192</v>
      </c>
      <c r="B73" s="2" t="s">
        <v>193</v>
      </c>
      <c r="C73" s="2" t="s">
        <v>109</v>
      </c>
      <c r="D73" s="2" t="s">
        <v>123</v>
      </c>
      <c r="E73" s="2" t="str">
        <f ca="1">IFERROR(__xludf.DUMMYFUNCTION("GOOGLETRANSLATE(B73,""de"",""en"")"),"I get stressed when I have to wait in a line (e.g. at a department store).")</f>
        <v>I get stressed when I have to wait in a line (e.g. at a department store).</v>
      </c>
      <c r="F73" s="2" t="str">
        <f ca="1">IFERROR(__xludf.DUMMYFUNCTION("GOOGLETRANSLATE(D73,""de"",""en"")"),"['doesn't occur at all in my everyday life', 'occurs very often in my everyday life']")</f>
        <v>['doesn't occur at all in my everyday life', 'occurs very often in my everyday life']</v>
      </c>
    </row>
    <row r="74" spans="1:6" x14ac:dyDescent="0.2">
      <c r="A74" s="2" t="s">
        <v>194</v>
      </c>
      <c r="B74" s="2" t="s">
        <v>195</v>
      </c>
      <c r="C74" s="2" t="s">
        <v>109</v>
      </c>
      <c r="D74" s="2" t="s">
        <v>110</v>
      </c>
      <c r="E74" s="2" t="str">
        <f ca="1">IFERROR(__xludf.DUMMYFUNCTION("GOOGLETRANSLATE(B74,""de"",""en"")"),"I get stressed when I forget/lose/misplace something.")</f>
        <v>I get stressed when I forget/lose/misplace something.</v>
      </c>
      <c r="F74" s="2" t="str">
        <f ca="1">IFERROR(__xludf.DUMMYFUNCTION("GOOGLETRANSLATE(D74,""de"",""en"")"),"['does not apply at all', 'completely applies']")</f>
        <v>['does not apply at all', 'completely applies']</v>
      </c>
    </row>
    <row r="75" spans="1:6" x14ac:dyDescent="0.2">
      <c r="A75" s="2" t="s">
        <v>194</v>
      </c>
      <c r="B75" s="2" t="s">
        <v>195</v>
      </c>
      <c r="C75" s="2" t="s">
        <v>109</v>
      </c>
      <c r="D75" s="2" t="s">
        <v>123</v>
      </c>
      <c r="E75" s="2" t="str">
        <f ca="1">IFERROR(__xludf.DUMMYFUNCTION("GOOGLETRANSLATE(B75,""de"",""en"")"),"I get stressed when I forget/lose/misplace something.")</f>
        <v>I get stressed when I forget/lose/misplace something.</v>
      </c>
      <c r="F75" s="2" t="str">
        <f ca="1">IFERROR(__xludf.DUMMYFUNCTION("GOOGLETRANSLATE(D75,""de"",""en"")"),"['doesn't occur at all in my everyday life', 'occurs very often in my everyday life']")</f>
        <v>['doesn't occur at all in my everyday life', 'occurs very often in my everyday life']</v>
      </c>
    </row>
    <row r="76" spans="1:6" x14ac:dyDescent="0.2">
      <c r="A76" s="2" t="s">
        <v>196</v>
      </c>
      <c r="B76" s="2" t="s">
        <v>197</v>
      </c>
      <c r="C76" s="2" t="s">
        <v>109</v>
      </c>
      <c r="D76" s="2" t="s">
        <v>110</v>
      </c>
      <c r="E76" s="2" t="str">
        <f ca="1">IFERROR(__xludf.DUMMYFUNCTION("GOOGLETRANSLATE(B76,""de"",""en"")"),"I get stressed when I look bad compared to others.")</f>
        <v>I get stressed when I look bad compared to others.</v>
      </c>
      <c r="F76" s="2" t="str">
        <f ca="1">IFERROR(__xludf.DUMMYFUNCTION("GOOGLETRANSLATE(D76,""de"",""en"")"),"['does not apply at all', 'completely applies']")</f>
        <v>['does not apply at all', 'completely applies']</v>
      </c>
    </row>
    <row r="77" spans="1:6" x14ac:dyDescent="0.2">
      <c r="A77" s="2" t="s">
        <v>196</v>
      </c>
      <c r="B77" s="2" t="s">
        <v>197</v>
      </c>
      <c r="C77" s="2" t="s">
        <v>109</v>
      </c>
      <c r="D77" s="2" t="s">
        <v>123</v>
      </c>
      <c r="E77" s="2" t="str">
        <f ca="1">IFERROR(__xludf.DUMMYFUNCTION("GOOGLETRANSLATE(B77,""de"",""en"")"),"I get stressed when I look bad compared to others.")</f>
        <v>I get stressed when I look bad compared to others.</v>
      </c>
      <c r="F77" s="2" t="str">
        <f ca="1">IFERROR(__xludf.DUMMYFUNCTION("GOOGLETRANSLATE(D77,""de"",""en"")"),"['doesn't occur at all in my everyday life', 'occurs very often in my everyday life']")</f>
        <v>['doesn't occur at all in my everyday life', 'occurs very often in my everyday life']</v>
      </c>
    </row>
    <row r="78" spans="1:6" x14ac:dyDescent="0.2">
      <c r="A78" s="2" t="s">
        <v>198</v>
      </c>
      <c r="B78" s="2" t="s">
        <v>199</v>
      </c>
      <c r="C78" s="2" t="s">
        <v>109</v>
      </c>
      <c r="D78" s="2" t="s">
        <v>110</v>
      </c>
      <c r="E78" s="2" t="str">
        <f ca="1">IFERROR(__xludf.DUMMYFUNCTION("GOOGLETRANSLATE(B78,""de"",""en"")"),"I get stressed when I have to be around people I can't stand.")</f>
        <v>I get stressed when I have to be around people I can't stand.</v>
      </c>
      <c r="F78" s="2" t="str">
        <f ca="1">IFERROR(__xludf.DUMMYFUNCTION("GOOGLETRANSLATE(D78,""de"",""en"")"),"['does not apply at all', 'completely applies']")</f>
        <v>['does not apply at all', 'completely applies']</v>
      </c>
    </row>
    <row r="79" spans="1:6" x14ac:dyDescent="0.2">
      <c r="A79" s="2" t="s">
        <v>198</v>
      </c>
      <c r="B79" s="2" t="s">
        <v>199</v>
      </c>
      <c r="C79" s="2" t="s">
        <v>109</v>
      </c>
      <c r="D79" s="2" t="s">
        <v>123</v>
      </c>
      <c r="E79" s="2" t="str">
        <f ca="1">IFERROR(__xludf.DUMMYFUNCTION("GOOGLETRANSLATE(B79,""de"",""en"")"),"I get stressed when I have to be around people I can't stand.")</f>
        <v>I get stressed when I have to be around people I can't stand.</v>
      </c>
      <c r="F79" s="2" t="str">
        <f ca="1">IFERROR(__xludf.DUMMYFUNCTION("GOOGLETRANSLATE(D79,""de"",""en"")"),"['doesn't occur at all in my everyday life', 'occurs very often in my everyday life']")</f>
        <v>['doesn't occur at all in my everyday life', 'occurs very often in my everyday life']</v>
      </c>
    </row>
    <row r="80" spans="1:6" x14ac:dyDescent="0.2">
      <c r="A80" s="2" t="s">
        <v>200</v>
      </c>
      <c r="B80" s="2" t="s">
        <v>201</v>
      </c>
      <c r="C80" s="2" t="s">
        <v>109</v>
      </c>
      <c r="D80" s="2" t="s">
        <v>110</v>
      </c>
      <c r="E80" s="2" t="str">
        <f ca="1">IFERROR(__xludf.DUMMYFUNCTION("GOOGLETRANSLATE(B80,""de"",""en"")"),"I get stressed when I am criticized or insulted.")</f>
        <v>I get stressed when I am criticized or insulted.</v>
      </c>
      <c r="F80" s="2" t="str">
        <f ca="1">IFERROR(__xludf.DUMMYFUNCTION("GOOGLETRANSLATE(D80,""de"",""en"")"),"['does not apply at all', 'completely applies']")</f>
        <v>['does not apply at all', 'completely applies']</v>
      </c>
    </row>
    <row r="81" spans="1:6" x14ac:dyDescent="0.2">
      <c r="A81" s="2" t="s">
        <v>200</v>
      </c>
      <c r="B81" s="2" t="s">
        <v>201</v>
      </c>
      <c r="C81" s="2" t="s">
        <v>109</v>
      </c>
      <c r="D81" s="2" t="s">
        <v>123</v>
      </c>
      <c r="E81" s="2" t="str">
        <f ca="1">IFERROR(__xludf.DUMMYFUNCTION("GOOGLETRANSLATE(B81,""de"",""en"")"),"I get stressed when I am criticized or insulted.")</f>
        <v>I get stressed when I am criticized or insulted.</v>
      </c>
      <c r="F81" s="2" t="str">
        <f ca="1">IFERROR(__xludf.DUMMYFUNCTION("GOOGLETRANSLATE(D81,""de"",""en"")"),"['doesn't occur at all in my everyday life', 'occurs very often in my everyday life']")</f>
        <v>['doesn't occur at all in my everyday life', 'occurs very often in my everyday life']</v>
      </c>
    </row>
    <row r="82" spans="1:6" x14ac:dyDescent="0.2">
      <c r="A82" s="2" t="s">
        <v>202</v>
      </c>
      <c r="B82" s="2" t="s">
        <v>203</v>
      </c>
      <c r="C82" s="2" t="s">
        <v>109</v>
      </c>
      <c r="D82" s="2" t="s">
        <v>110</v>
      </c>
      <c r="E82" s="2" t="str">
        <f ca="1">IFERROR(__xludf.DUMMYFUNCTION("GOOGLETRANSLATE(B82,""de"",""en"")"),"I get stressed when I have an accident or get injured.")</f>
        <v>I get stressed when I have an accident or get injured.</v>
      </c>
      <c r="F82" s="2" t="str">
        <f ca="1">IFERROR(__xludf.DUMMYFUNCTION("GOOGLETRANSLATE(D82,""de"",""en"")"),"['does not apply at all', 'completely applies']")</f>
        <v>['does not apply at all', 'completely applies']</v>
      </c>
    </row>
    <row r="83" spans="1:6" x14ac:dyDescent="0.2">
      <c r="A83" s="2" t="s">
        <v>202</v>
      </c>
      <c r="B83" s="2" t="s">
        <v>203</v>
      </c>
      <c r="C83" s="2" t="s">
        <v>109</v>
      </c>
      <c r="D83" s="2" t="s">
        <v>123</v>
      </c>
      <c r="E83" s="2" t="str">
        <f ca="1">IFERROR(__xludf.DUMMYFUNCTION("GOOGLETRANSLATE(B83,""de"",""en"")"),"I get stressed when I have an accident or get injured.")</f>
        <v>I get stressed when I have an accident or get injured.</v>
      </c>
      <c r="F83" s="2" t="str">
        <f ca="1">IFERROR(__xludf.DUMMYFUNCTION("GOOGLETRANSLATE(D83,""de"",""en"")"),"['doesn't occur at all in my everyday life', 'occurs very often in my everyday life']")</f>
        <v>['doesn't occur at all in my everyday life', 'occurs very often in my everyday life']</v>
      </c>
    </row>
    <row r="84" spans="1:6" x14ac:dyDescent="0.2">
      <c r="A84" s="2" t="s">
        <v>204</v>
      </c>
      <c r="B84" s="2" t="s">
        <v>205</v>
      </c>
      <c r="C84" s="2" t="s">
        <v>109</v>
      </c>
      <c r="D84" s="2" t="s">
        <v>110</v>
      </c>
      <c r="E84" s="2" t="str">
        <f ca="1">IFERROR(__xludf.DUMMYFUNCTION("GOOGLETRANSLATE(B84,""de"",""en"")"),"I get stressed when an important everyday item breaks (e.g. washing machine, stove, etc.).")</f>
        <v>I get stressed when an important everyday item breaks (e.g. washing machine, stove, etc.).</v>
      </c>
      <c r="F84" s="2" t="str">
        <f ca="1">IFERROR(__xludf.DUMMYFUNCTION("GOOGLETRANSLATE(D84,""de"",""en"")"),"['does not apply at all', 'completely applies']")</f>
        <v>['does not apply at all', 'completely applies']</v>
      </c>
    </row>
    <row r="85" spans="1:6" x14ac:dyDescent="0.2">
      <c r="A85" s="2" t="s">
        <v>204</v>
      </c>
      <c r="B85" s="2" t="s">
        <v>205</v>
      </c>
      <c r="C85" s="2" t="s">
        <v>109</v>
      </c>
      <c r="D85" s="2" t="s">
        <v>123</v>
      </c>
      <c r="E85" s="2" t="str">
        <f ca="1">IFERROR(__xludf.DUMMYFUNCTION("GOOGLETRANSLATE(B85,""de"",""en"")"),"I get stressed when an important everyday item breaks (e.g. washing machine, stove, etc.).")</f>
        <v>I get stressed when an important everyday item breaks (e.g. washing machine, stove, etc.).</v>
      </c>
      <c r="F85" s="2" t="str">
        <f ca="1">IFERROR(__xludf.DUMMYFUNCTION("GOOGLETRANSLATE(D85,""de"",""en"")"),"['doesn't occur at all in my everyday life', 'occurs very often in my everyday life']")</f>
        <v>['doesn't occur at all in my everyday life', 'occurs very often in my everyday life']</v>
      </c>
    </row>
    <row r="86" spans="1:6" x14ac:dyDescent="0.2">
      <c r="A86" s="2" t="s">
        <v>206</v>
      </c>
      <c r="B86" s="2" t="s">
        <v>207</v>
      </c>
      <c r="C86" s="2" t="s">
        <v>109</v>
      </c>
      <c r="D86" s="2" t="s">
        <v>110</v>
      </c>
      <c r="E86" s="2" t="str">
        <f ca="1">IFERROR(__xludf.DUMMYFUNCTION("GOOGLETRANSLATE(B86,""de"",""en"")"),"I get stressed when someone harms me.")</f>
        <v>I get stressed when someone harms me.</v>
      </c>
      <c r="F86" s="2" t="str">
        <f ca="1">IFERROR(__xludf.DUMMYFUNCTION("GOOGLETRANSLATE(D86,""de"",""en"")"),"['does not apply at all', 'completely applies']")</f>
        <v>['does not apply at all', 'completely applies']</v>
      </c>
    </row>
    <row r="87" spans="1:6" x14ac:dyDescent="0.2">
      <c r="A87" s="2" t="s">
        <v>206</v>
      </c>
      <c r="B87" s="2" t="s">
        <v>207</v>
      </c>
      <c r="C87" s="2" t="s">
        <v>109</v>
      </c>
      <c r="D87" s="2" t="s">
        <v>123</v>
      </c>
      <c r="E87" s="2" t="str">
        <f ca="1">IFERROR(__xludf.DUMMYFUNCTION("GOOGLETRANSLATE(B87,""de"",""en"")"),"I get stressed when someone harms me.")</f>
        <v>I get stressed when someone harms me.</v>
      </c>
      <c r="F87" s="2" t="str">
        <f ca="1">IFERROR(__xludf.DUMMYFUNCTION("GOOGLETRANSLATE(D87,""de"",""en"")"),"['doesn't occur at all in my everyday life', 'occurs very often in my everyday life']")</f>
        <v>['doesn't occur at all in my everyday life', 'occurs very often in my everyday life']</v>
      </c>
    </row>
    <row r="88" spans="1:6" x14ac:dyDescent="0.2">
      <c r="A88" s="2" t="s">
        <v>208</v>
      </c>
      <c r="B88" s="2" t="s">
        <v>209</v>
      </c>
      <c r="C88" s="2" t="s">
        <v>109</v>
      </c>
      <c r="D88" s="2" t="s">
        <v>110</v>
      </c>
      <c r="E88" s="2" t="str">
        <f ca="1">IFERROR(__xludf.DUMMYFUNCTION("GOOGLETRANSLATE(B88,""de"",""en"")"),"I get stressed when someone disappoints me or breaks a promise.")</f>
        <v>I get stressed when someone disappoints me or breaks a promise.</v>
      </c>
      <c r="F88" s="2" t="str">
        <f ca="1">IFERROR(__xludf.DUMMYFUNCTION("GOOGLETRANSLATE(D88,""de"",""en"")"),"['does not apply at all', 'completely applies']")</f>
        <v>['does not apply at all', 'completely applies']</v>
      </c>
    </row>
    <row r="89" spans="1:6" x14ac:dyDescent="0.2">
      <c r="A89" s="2" t="s">
        <v>208</v>
      </c>
      <c r="B89" s="2" t="s">
        <v>209</v>
      </c>
      <c r="C89" s="2" t="s">
        <v>109</v>
      </c>
      <c r="D89" s="2" t="s">
        <v>123</v>
      </c>
      <c r="E89" s="2" t="str">
        <f ca="1">IFERROR(__xludf.DUMMYFUNCTION("GOOGLETRANSLATE(B89,""de"",""en"")"),"I get stressed when someone disappoints me or breaks a promise.")</f>
        <v>I get stressed when someone disappoints me or breaks a promise.</v>
      </c>
      <c r="F89" s="2" t="str">
        <f ca="1">IFERROR(__xludf.DUMMYFUNCTION("GOOGLETRANSLATE(D89,""de"",""en"")"),"['doesn't occur at all in my everyday life', 'occurs very often in my everyday life']")</f>
        <v>['doesn't occur at all in my everyday life', 'occurs very often in my everyday life']</v>
      </c>
    </row>
    <row r="90" spans="1:6" x14ac:dyDescent="0.2">
      <c r="A90" s="2" t="s">
        <v>210</v>
      </c>
      <c r="B90" s="2" t="s">
        <v>211</v>
      </c>
      <c r="C90" s="2" t="s">
        <v>109</v>
      </c>
      <c r="D90" s="2" t="s">
        <v>110</v>
      </c>
      <c r="E90" s="2" t="str">
        <f ca="1">IFERROR(__xludf.DUMMYFUNCTION("GOOGLETRANSLATE(B90,""de"",""en"")"),"I get stressed when I'm not feeling well physically.")</f>
        <v>I get stressed when I'm not feeling well physically.</v>
      </c>
      <c r="F90" s="2" t="str">
        <f ca="1">IFERROR(__xludf.DUMMYFUNCTION("GOOGLETRANSLATE(D90,""de"",""en"")"),"['does not apply at all', 'completely applies']")</f>
        <v>['does not apply at all', 'completely applies']</v>
      </c>
    </row>
    <row r="91" spans="1:6" x14ac:dyDescent="0.2">
      <c r="A91" s="2" t="s">
        <v>210</v>
      </c>
      <c r="B91" s="2" t="s">
        <v>211</v>
      </c>
      <c r="C91" s="2" t="s">
        <v>109</v>
      </c>
      <c r="D91" s="2" t="s">
        <v>123</v>
      </c>
      <c r="E91" s="2" t="str">
        <f ca="1">IFERROR(__xludf.DUMMYFUNCTION("GOOGLETRANSLATE(B91,""de"",""en"")"),"I get stressed when I'm not feeling well physically.")</f>
        <v>I get stressed when I'm not feeling well physically.</v>
      </c>
      <c r="F91" s="2" t="str">
        <f ca="1">IFERROR(__xludf.DUMMYFUNCTION("GOOGLETRANSLATE(D91,""de"",""en"")"),"['doesn't occur at all in my everyday life', 'occurs very often in my everyday life']")</f>
        <v>['doesn't occur at all in my everyday life', 'occurs very often in my everyday life']</v>
      </c>
    </row>
    <row r="92" spans="1:6" x14ac:dyDescent="0.2">
      <c r="A92" s="2" t="s">
        <v>212</v>
      </c>
      <c r="B92" s="2" t="s">
        <v>213</v>
      </c>
      <c r="C92" s="2" t="s">
        <v>109</v>
      </c>
      <c r="D92" s="2" t="s">
        <v>110</v>
      </c>
      <c r="E92" s="2" t="str">
        <f ca="1">IFERROR(__xludf.DUMMYFUNCTION("GOOGLETRANSLATE(B92,""de"",""en"")"),"I get stressed when I have to wait longer for something than planned.")</f>
        <v>I get stressed when I have to wait longer for something than planned.</v>
      </c>
      <c r="F92" s="2" t="str">
        <f ca="1">IFERROR(__xludf.DUMMYFUNCTION("GOOGLETRANSLATE(D92,""de"",""en"")"),"['does not apply at all', 'completely applies']")</f>
        <v>['does not apply at all', 'completely applies']</v>
      </c>
    </row>
    <row r="93" spans="1:6" x14ac:dyDescent="0.2">
      <c r="A93" s="2" t="s">
        <v>212</v>
      </c>
      <c r="B93" s="2" t="s">
        <v>213</v>
      </c>
      <c r="C93" s="2" t="s">
        <v>109</v>
      </c>
      <c r="D93" s="2" t="s">
        <v>123</v>
      </c>
      <c r="E93" s="2" t="str">
        <f ca="1">IFERROR(__xludf.DUMMYFUNCTION("GOOGLETRANSLATE(B93,""de"",""en"")"),"I get stressed when I have to wait longer for something than planned.")</f>
        <v>I get stressed when I have to wait longer for something than planned.</v>
      </c>
      <c r="F93" s="2" t="str">
        <f ca="1">IFERROR(__xludf.DUMMYFUNCTION("GOOGLETRANSLATE(D93,""de"",""en"")"),"['doesn't occur at all in my everyday life', 'occurs very often in my everyday life']")</f>
        <v>['doesn't occur at all in my everyday life', 'occurs very often in my everyday life']</v>
      </c>
    </row>
    <row r="94" spans="1:6" x14ac:dyDescent="0.2"/>
    <row r="95" spans="1:6" x14ac:dyDescent="0.2"/>
    <row r="96" spans="1: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214</v>
      </c>
      <c r="B2" s="2" t="s">
        <v>215</v>
      </c>
      <c r="C2" s="2" t="s">
        <v>216</v>
      </c>
      <c r="D2" s="2" t="s">
        <v>217</v>
      </c>
      <c r="E2" s="2" t="str">
        <f ca="1">IFERROR(__xludf.DUMMYFUNCTION("GOOGLETRANSLATE(B2,""de"",""en"")"),"Conflicts/tensions in the family (partner, children, parents (mother, father), siblings)")</f>
        <v>Conflicts/tensions in the family (partner, children, parents (mother, father), siblings)</v>
      </c>
      <c r="F2" s="2" t="str">
        <f ca="1">IFERROR(__xludf.DUMMYFUNCTION("GOOGLETRANSLATE(D2,""de"",""en"")"),"['never', 'rarely', 'sometimes', 'often']")</f>
        <v>['never', 'rarely', 'sometimes', 'often']</v>
      </c>
    </row>
    <row r="3" spans="1:6" x14ac:dyDescent="0.2">
      <c r="A3" s="2" t="s">
        <v>218</v>
      </c>
      <c r="B3" s="2" t="s">
        <v>219</v>
      </c>
      <c r="C3" s="2" t="s">
        <v>216</v>
      </c>
      <c r="D3" s="2" t="s">
        <v>217</v>
      </c>
      <c r="E3" s="2" t="str">
        <f ca="1">IFERROR(__xludf.DUMMYFUNCTION("GOOGLETRANSLATE(B3,""de"",""en"")"),"Conflicts with friends and good acquaintances")</f>
        <v>Conflicts with friends and good acquaintances</v>
      </c>
      <c r="F3" s="2" t="str">
        <f ca="1">IFERROR(__xludf.DUMMYFUNCTION("GOOGLETRANSLATE(D3,""de"",""en"")"),"['never', 'rarely', 'sometimes', 'often']")</f>
        <v>['never', 'rarely', 'sometimes', 'often']</v>
      </c>
    </row>
    <row r="4" spans="1:6" x14ac:dyDescent="0.2">
      <c r="A4" s="2" t="s">
        <v>220</v>
      </c>
      <c r="B4" s="2" t="s">
        <v>221</v>
      </c>
      <c r="C4" s="2" t="s">
        <v>216</v>
      </c>
      <c r="D4" s="2" t="s">
        <v>217</v>
      </c>
      <c r="E4" s="2" t="str">
        <f ca="1">IFERROR(__xludf.DUMMYFUNCTION("GOOGLETRANSLATE(B4,""de"",""en"")"),"Conflicts/tensions in the workplace")</f>
        <v>Conflicts/tensions in the workplace</v>
      </c>
      <c r="F4" s="2" t="str">
        <f ca="1">IFERROR(__xludf.DUMMYFUNCTION("GOOGLETRANSLATE(D4,""de"",""en"")"),"['never', 'rarely', 'sometimes', 'often']")</f>
        <v>['never', 'rarely', 'sometimes', 'often']</v>
      </c>
    </row>
    <row r="5" spans="1:6" x14ac:dyDescent="0.2">
      <c r="A5" s="2" t="s">
        <v>222</v>
      </c>
      <c r="B5" s="2" t="s">
        <v>223</v>
      </c>
      <c r="C5" s="2" t="s">
        <v>216</v>
      </c>
      <c r="D5" s="2" t="s">
        <v>217</v>
      </c>
      <c r="E5" s="2" t="str">
        <f ca="1">IFERROR(__xludf.DUMMYFUNCTION("GOOGLETRANSLATE(B5,""de"",""en"")"),"Conflicts/tensions with neighbors")</f>
        <v>Conflicts/tensions with neighbors</v>
      </c>
      <c r="F5" s="2" t="str">
        <f ca="1">IFERROR(__xludf.DUMMYFUNCTION("GOOGLETRANSLATE(D5,""de"",""en"")"),"['never', 'rarely', 'sometimes', 'often']")</f>
        <v>['never', 'rarely', 'sometimes', 'often']</v>
      </c>
    </row>
    <row r="6" spans="1:6" x14ac:dyDescent="0.2">
      <c r="A6" s="2" t="s">
        <v>224</v>
      </c>
      <c r="B6" s="2" t="s">
        <v>225</v>
      </c>
      <c r="C6" s="2" t="s">
        <v>109</v>
      </c>
      <c r="D6" s="2" t="s">
        <v>110</v>
      </c>
      <c r="E6" s="2" t="str">
        <f ca="1">IFERROR(__xludf.DUMMYFUNCTION("GOOGLETRANSLATE(B6,""de"",""en"")"),"I feel alone")</f>
        <v>I feel alone</v>
      </c>
      <c r="F6" s="2" t="str">
        <f ca="1">IFERROR(__xludf.DUMMYFUNCTION("GOOGLETRANSLATE(D6,""de"",""en"")"),"['does not apply at all', 'completely applies']")</f>
        <v>['does not apply at all', 'completely applies']</v>
      </c>
    </row>
    <row r="7" spans="1:6" x14ac:dyDescent="0.2">
      <c r="A7" s="2" t="s">
        <v>226</v>
      </c>
      <c r="B7" s="2" t="s">
        <v>227</v>
      </c>
      <c r="C7" s="2" t="s">
        <v>109</v>
      </c>
      <c r="D7" s="2" t="s">
        <v>110</v>
      </c>
      <c r="E7" s="2" t="str">
        <f ca="1">IFERROR(__xludf.DUMMYFUNCTION("GOOGLETRANSLATE(B7,""de"",""en"")"),"There are people who really understand me (neg.)")</f>
        <v>There are people who really understand me (neg.)</v>
      </c>
      <c r="F7" s="2" t="str">
        <f ca="1">IFERROR(__xludf.DUMMYFUNCTION("GOOGLETRANSLATE(D7,""de"",""en"")"),"['does not apply at all', 'completely applies']")</f>
        <v>['does not apply at all', 'completely applies']</v>
      </c>
    </row>
    <row r="8" spans="1:6" x14ac:dyDescent="0.2">
      <c r="A8" s="2" t="s">
        <v>228</v>
      </c>
      <c r="B8" s="2" t="s">
        <v>229</v>
      </c>
      <c r="C8" s="2" t="s">
        <v>109</v>
      </c>
      <c r="D8" s="2" t="s">
        <v>110</v>
      </c>
      <c r="E8" s="2" t="str">
        <f ca="1">IFERROR(__xludf.DUMMYFUNCTION("GOOGLETRANSLATE(B8,""de"",""en"")"),"I don't have enough social contacts")</f>
        <v>I don't have enough social contacts</v>
      </c>
      <c r="F8" s="2" t="str">
        <f ca="1">IFERROR(__xludf.DUMMYFUNCTION("GOOGLETRANSLATE(D8,""de"",""en"")"),"['does not apply at all', 'completely applies']")</f>
        <v>['does not apply at all', 'completely applies']</v>
      </c>
    </row>
    <row r="9" spans="1:6" x14ac:dyDescent="0.2">
      <c r="A9" s="2" t="s">
        <v>230</v>
      </c>
      <c r="B9" s="2" t="s">
        <v>231</v>
      </c>
      <c r="C9" s="2" t="s">
        <v>109</v>
      </c>
      <c r="D9" s="2" t="s">
        <v>110</v>
      </c>
      <c r="E9" s="2" t="str">
        <f ca="1">IFERROR(__xludf.DUMMYFUNCTION("GOOGLETRANSLATE(B9,""de"",""en"")"),"I feel socially isolated")</f>
        <v>I feel socially isolated</v>
      </c>
      <c r="F9" s="2" t="str">
        <f ca="1">IFERROR(__xludf.DUMMYFUNCTION("GOOGLETRANSLATE(D9,""de"",""en"")"),"['does not apply at all', 'completely applies']")</f>
        <v>['does not apply at all', 'completely applies']</v>
      </c>
    </row>
    <row r="10" spans="1:6" x14ac:dyDescent="0.2">
      <c r="A10" s="2" t="s">
        <v>232</v>
      </c>
      <c r="B10" s="2" t="s">
        <v>233</v>
      </c>
      <c r="C10" s="2" t="s">
        <v>109</v>
      </c>
      <c r="D10" s="2" t="s">
        <v>110</v>
      </c>
      <c r="E10" s="2" t="str">
        <f ca="1">IFERROR(__xludf.DUMMYFUNCTION("GOOGLETRANSLATE(B10,""de"",""en"")"),"I don't feel close to anyone")</f>
        <v>I don't feel close to anyone</v>
      </c>
      <c r="F10" s="2" t="str">
        <f ca="1">IFERROR(__xludf.DUMMYFUNCTION("GOOGLETRANSLATE(D10,""de"",""en"")"),"['does not apply at all', 'completely applies']")</f>
        <v>['does not apply at all', 'completely applies']</v>
      </c>
    </row>
    <row r="11" spans="1:6" x14ac:dyDescent="0.2">
      <c r="A11" s="2" t="s">
        <v>234</v>
      </c>
      <c r="B11" s="2" t="s">
        <v>235</v>
      </c>
      <c r="C11" s="2" t="s">
        <v>109</v>
      </c>
      <c r="D11" s="2" t="s">
        <v>110</v>
      </c>
      <c r="E11" s="2" t="str">
        <f ca="1">IFERROR(__xludf.DUMMYFUNCTION("GOOGLETRANSLATE(B11,""de"",""en"")"),"I don't have enough company")</f>
        <v>I don't have enough company</v>
      </c>
      <c r="F11" s="2" t="str">
        <f ca="1">IFERROR(__xludf.DUMMYFUNCTION("GOOGLETRANSLATE(D11,""de"",""en"")"),"['does not apply at all', 'completely applies']")</f>
        <v>['does not apply at all', 'completely applies']</v>
      </c>
    </row>
    <row r="12" spans="1:6" x14ac:dyDescent="0.2">
      <c r="A12" s="2" t="s">
        <v>236</v>
      </c>
      <c r="B12" s="2" t="s">
        <v>237</v>
      </c>
      <c r="C12" s="2" t="s">
        <v>109</v>
      </c>
      <c r="D12" s="2" t="s">
        <v>110</v>
      </c>
      <c r="E12" s="2" t="str">
        <f ca="1">IFERROR(__xludf.DUMMYFUNCTION("GOOGLETRANSLATE(B12,""de"",""en"")"),"I am particularly susceptible to stress in the following areas: performance situations and pressure to succeed")</f>
        <v>I am particularly susceptible to stress in the following areas: performance situations and pressure to succeed</v>
      </c>
      <c r="F12" s="2" t="str">
        <f ca="1">IFERROR(__xludf.DUMMYFUNCTION("GOOGLETRANSLATE(D12,""de"",""en"")"),"['does not apply at all', 'completely applies']")</f>
        <v>['does not apply at all', 'completely applies']</v>
      </c>
    </row>
    <row r="13" spans="1:6" x14ac:dyDescent="0.2">
      <c r="A13" s="2" t="s">
        <v>238</v>
      </c>
      <c r="B13" s="2" t="s">
        <v>239</v>
      </c>
      <c r="C13" s="2" t="s">
        <v>109</v>
      </c>
      <c r="D13" s="2" t="s">
        <v>110</v>
      </c>
      <c r="E13" s="2" t="str">
        <f ca="1">IFERROR(__xludf.DUMMYFUNCTION("GOOGLETRANSLATE(B13,""de"",""en"")"),"I am particularly susceptible to stress in the following areas: social relationships at work")</f>
        <v>I am particularly susceptible to stress in the following areas: social relationships at work</v>
      </c>
      <c r="F13" s="2" t="str">
        <f ca="1">IFERROR(__xludf.DUMMYFUNCTION("GOOGLETRANSLATE(D13,""de"",""en"")"),"['does not apply at all', 'completely applies']")</f>
        <v>['does not apply at all', 'completely applies']</v>
      </c>
    </row>
    <row r="14" spans="1:6" x14ac:dyDescent="0.2">
      <c r="A14" s="2" t="s">
        <v>240</v>
      </c>
      <c r="B14" s="2" t="s">
        <v>241</v>
      </c>
      <c r="C14" s="2" t="s">
        <v>109</v>
      </c>
      <c r="D14" s="2" t="s">
        <v>110</v>
      </c>
      <c r="E14" s="2" t="str">
        <f ca="1">IFERROR(__xludf.DUMMYFUNCTION("GOOGLETRANSLATE(B14,""de"",""en"")"),"I am particularly susceptible to stress in the following areas: Relationships with superiors")</f>
        <v>I am particularly susceptible to stress in the following areas: Relationships with superiors</v>
      </c>
      <c r="F14" s="2" t="str">
        <f ca="1">IFERROR(__xludf.DUMMYFUNCTION("GOOGLETRANSLATE(D14,""de"",""en"")"),"['does not apply at all', 'completely applies']")</f>
        <v>['does not apply at all', 'completely applies']</v>
      </c>
    </row>
    <row r="15" spans="1:6" x14ac:dyDescent="0.2">
      <c r="A15" s="2" t="s">
        <v>242</v>
      </c>
      <c r="B15" s="2" t="s">
        <v>243</v>
      </c>
      <c r="C15" s="2" t="s">
        <v>109</v>
      </c>
      <c r="D15" s="2" t="s">
        <v>110</v>
      </c>
      <c r="E15" s="2" t="str">
        <f ca="1">IFERROR(__xludf.DUMMYFUNCTION("GOOGLETRANSLATE(B15,""de"",""en"")"),"I am particularly susceptible to stress in the following areas: Work design (… see above)")</f>
        <v>I am particularly susceptible to stress in the following areas: Work design (… see above)</v>
      </c>
      <c r="F15" s="2" t="str">
        <f ca="1">IFERROR(__xludf.DUMMYFUNCTION("GOOGLETRANSLATE(D15,""de"",""en"")"),"['does not apply at all', 'completely applies']")</f>
        <v>['does not apply at all', 'completely applies']</v>
      </c>
    </row>
    <row r="16" spans="1:6" x14ac:dyDescent="0.2">
      <c r="A16" s="2" t="s">
        <v>244</v>
      </c>
      <c r="B16" s="2" t="s">
        <v>245</v>
      </c>
      <c r="C16" s="2" t="s">
        <v>109</v>
      </c>
      <c r="D16" s="2" t="s">
        <v>110</v>
      </c>
      <c r="E16" s="2" t="str">
        <f ca="1">IFERROR(__xludf.DUMMYFUNCTION("GOOGLETRANSLATE(B16,""de"",""en"")"),"I am particularly susceptible to stress in the following areas: family relationships")</f>
        <v>I am particularly susceptible to stress in the following areas: family relationships</v>
      </c>
      <c r="F16" s="2" t="str">
        <f ca="1">IFERROR(__xludf.DUMMYFUNCTION("GOOGLETRANSLATE(D16,""de"",""en"")"),"['does not apply at all', 'completely applies']")</f>
        <v>['does not apply at all', 'completely applies']</v>
      </c>
    </row>
    <row r="17" spans="1:6" x14ac:dyDescent="0.2">
      <c r="A17" s="2" t="s">
        <v>246</v>
      </c>
      <c r="B17" s="2" t="s">
        <v>247</v>
      </c>
      <c r="C17" s="2" t="s">
        <v>109</v>
      </c>
      <c r="D17" s="2" t="s">
        <v>110</v>
      </c>
      <c r="E17" s="2" t="str">
        <f ca="1">IFERROR(__xludf.DUMMYFUNCTION("GOOGLETRANSLATE(B17,""de"",""en"")"),"I am particularly susceptible to stress in the following areas: social tensions")</f>
        <v>I am particularly susceptible to stress in the following areas: social tensions</v>
      </c>
      <c r="F17" s="2" t="str">
        <f ca="1">IFERROR(__xludf.DUMMYFUNCTION("GOOGLETRANSLATE(D17,""de"",""en"")"),"['does not apply at all', 'completely applies']")</f>
        <v>['does not apply at all', 'completely applies']</v>
      </c>
    </row>
    <row r="18" spans="1:6" x14ac:dyDescent="0.2">
      <c r="A18" s="2" t="s">
        <v>248</v>
      </c>
      <c r="B18" s="2" t="s">
        <v>249</v>
      </c>
      <c r="C18" s="2" t="s">
        <v>109</v>
      </c>
      <c r="D18" s="2" t="s">
        <v>110</v>
      </c>
      <c r="E18" s="2" t="str">
        <f ca="1">IFERROR(__xludf.DUMMYFUNCTION("GOOGLETRANSLATE(B18,""de"",""en"")"),"I am particularly susceptible to stress in the following areas: social appearances")</f>
        <v>I am particularly susceptible to stress in the following areas: social appearances</v>
      </c>
      <c r="F18" s="2" t="str">
        <f ca="1">IFERROR(__xludf.DUMMYFUNCTION("GOOGLETRANSLATE(D18,""de"",""en"")"),"['does not apply at all', 'completely applies']")</f>
        <v>['does not apply at all', 'completely applies']</v>
      </c>
    </row>
    <row r="19" spans="1:6" x14ac:dyDescent="0.2">
      <c r="A19" s="2" t="s">
        <v>250</v>
      </c>
      <c r="B19" s="2" t="s">
        <v>251</v>
      </c>
      <c r="C19" s="2" t="s">
        <v>216</v>
      </c>
      <c r="D19" s="2" t="s">
        <v>252</v>
      </c>
      <c r="E19" s="2" t="str">
        <f ca="1">IFERROR(__xludf.DUMMYFUNCTION("GOOGLETRANSLATE(B19,""de"",""en"")"),"I am an insecure person")</f>
        <v>I am an insecure person</v>
      </c>
      <c r="F19" s="2" t="str">
        <f ca="1">IFERROR(__xludf.DUMMYFUNCTION("GOOGLETRANSLATE(D19,""de"",""en"")"),"['not at all true', 'rather not true', 'somewhat true', 'exactly true']")</f>
        <v>['not at all true', 'rather not true', 'somewhat true', 'exactly true']</v>
      </c>
    </row>
    <row r="20" spans="1:6" x14ac:dyDescent="0.2">
      <c r="A20" s="2" t="s">
        <v>253</v>
      </c>
      <c r="B20" s="2" t="s">
        <v>254</v>
      </c>
      <c r="C20" s="2" t="s">
        <v>216</v>
      </c>
      <c r="D20" s="2" t="s">
        <v>252</v>
      </c>
      <c r="E20" s="2" t="str">
        <f ca="1">IFERROR(__xludf.DUMMYFUNCTION("GOOGLETRANSLATE(B20,""de"",""en"")"),"I often feel great inner restlessness")</f>
        <v>I often feel great inner restlessness</v>
      </c>
      <c r="F20" s="2" t="str">
        <f ca="1">IFERROR(__xludf.DUMMYFUNCTION("GOOGLETRANSLATE(D20,""de"",""en"")"),"['not at all true', 'rather not true', 'somewhat true', 'exactly true']")</f>
        <v>['not at all true', 'rather not true', 'somewhat true', 'exactly true']</v>
      </c>
    </row>
    <row r="21" spans="1:6" x14ac:dyDescent="0.2">
      <c r="A21" s="2" t="s">
        <v>255</v>
      </c>
      <c r="B21" s="2" t="s">
        <v>256</v>
      </c>
      <c r="C21" s="2" t="s">
        <v>216</v>
      </c>
      <c r="D21" s="2" t="s">
        <v>252</v>
      </c>
      <c r="E21" s="2" t="str">
        <f ca="1">IFERROR(__xludf.DUMMYFUNCTION("GOOGLETRANSLATE(B21,""de"",""en"")"),"I often feel sad for no reason")</f>
        <v>I often feel sad for no reason</v>
      </c>
      <c r="F21" s="2" t="str">
        <f ca="1">IFERROR(__xludf.DUMMYFUNCTION("GOOGLETRANSLATE(D21,""de"",""en"")"),"['not at all true', 'rather not true', 'somewhat true', 'exactly true']")</f>
        <v>['not at all true', 'rather not true', 'somewhat true', 'exactly true']</v>
      </c>
    </row>
    <row r="22" spans="1:6" x14ac:dyDescent="0.2">
      <c r="A22" s="2" t="s">
        <v>257</v>
      </c>
      <c r="B22" s="2" t="s">
        <v>258</v>
      </c>
      <c r="C22" s="2" t="s">
        <v>216</v>
      </c>
      <c r="D22" s="2" t="s">
        <v>252</v>
      </c>
      <c r="E22" s="2" t="str">
        <f ca="1">IFERROR(__xludf.DUMMYFUNCTION("GOOGLETRANSLATE(B22,""de"",""en"")"),"I'm often nervous")</f>
        <v>I'm often nervous</v>
      </c>
      <c r="F22" s="2" t="str">
        <f ca="1">IFERROR(__xludf.DUMMYFUNCTION("GOOGLETRANSLATE(D22,""de"",""en"")"),"['not at all true', 'rather not true', 'somewhat true', 'exactly true']")</f>
        <v>['not at all true', 'rather not true', 'somewhat true', 'exactly true']</v>
      </c>
    </row>
    <row r="23" spans="1:6" x14ac:dyDescent="0.2">
      <c r="A23" s="2" t="s">
        <v>259</v>
      </c>
      <c r="B23" s="2" t="s">
        <v>260</v>
      </c>
      <c r="C23" s="2" t="s">
        <v>216</v>
      </c>
      <c r="D23" s="2" t="s">
        <v>252</v>
      </c>
      <c r="E23" s="2" t="str">
        <f ca="1">IFERROR(__xludf.DUMMYFUNCTION("GOOGLETRANSLATE(B23,""de"",""en"")"),"I am often torn by my feelings")</f>
        <v>I am often torn by my feelings</v>
      </c>
      <c r="F23" s="2" t="str">
        <f ca="1">IFERROR(__xludf.DUMMYFUNCTION("GOOGLETRANSLATE(D23,""de"",""en"")"),"['not at all true', 'rather not true', 'somewhat true', 'exactly true']")</f>
        <v>['not at all true', 'rather not true', 'somewhat true', 'exactly true']</v>
      </c>
    </row>
    <row r="24" spans="1:6" x14ac:dyDescent="0.2">
      <c r="A24" s="2" t="s">
        <v>261</v>
      </c>
      <c r="B24" s="2" t="s">
        <v>262</v>
      </c>
      <c r="C24" s="2" t="s">
        <v>109</v>
      </c>
      <c r="D24" s="2" t="s">
        <v>263</v>
      </c>
      <c r="E24" s="2" t="str">
        <f ca="1">IFERROR(__xludf.DUMMYFUNCTION("GOOGLETRANSLATE(B24,""de"",""en"")"),"It is important for me to be completely competent in everything I do.")</f>
        <v>It is important for me to be completely competent in everything I do.</v>
      </c>
      <c r="F24" s="2" t="str">
        <f ca="1">IFERROR(__xludf.DUMMYFUNCTION("GOOGLETRANSLATE(D24,""de"",""en"")"),"['not at all', 'exactly']")</f>
        <v>['not at all', 'exactly']</v>
      </c>
    </row>
    <row r="25" spans="1:6" x14ac:dyDescent="0.2">
      <c r="A25" s="2" t="s">
        <v>264</v>
      </c>
      <c r="B25" s="2" t="s">
        <v>265</v>
      </c>
      <c r="C25" s="2" t="s">
        <v>109</v>
      </c>
      <c r="D25" s="2" t="s">
        <v>263</v>
      </c>
      <c r="E25" s="2" t="str">
        <f ca="1">IFERROR(__xludf.DUMMYFUNCTION("GOOGLETRANSLATE(B25,""de"",""en"")"),"If I don't set myself the highest standards, I'll probably end up as a second-class citizen.")</f>
        <v>If I don't set myself the highest standards, I'll probably end up as a second-class citizen.</v>
      </c>
      <c r="F25" s="2" t="str">
        <f ca="1">IFERROR(__xludf.DUMMYFUNCTION("GOOGLETRANSLATE(D25,""de"",""en"")"),"['not at all', 'exactly']")</f>
        <v>['not at all', 'exactly']</v>
      </c>
    </row>
    <row r="26" spans="1:6" x14ac:dyDescent="0.2">
      <c r="A26" s="2" t="s">
        <v>266</v>
      </c>
      <c r="B26" s="2" t="s">
        <v>267</v>
      </c>
      <c r="C26" s="2" t="s">
        <v>109</v>
      </c>
      <c r="D26" s="2" t="s">
        <v>263</v>
      </c>
      <c r="E26" s="2" t="str">
        <f ca="1">IFERROR(__xludf.DUMMYFUNCTION("GOOGLETRANSLATE(B26,""de"",""en"")"),"I rightly get upset when I make a mistake.")</f>
        <v>I rightly get upset when I make a mistake.</v>
      </c>
      <c r="F26" s="2" t="str">
        <f ca="1">IFERROR(__xludf.DUMMYFUNCTION("GOOGLETRANSLATE(D26,""de"",""en"")"),"['not at all', 'exactly']")</f>
        <v>['not at all', 'exactly']</v>
      </c>
    </row>
    <row r="27" spans="1:6" x14ac:dyDescent="0.2">
      <c r="A27" s="2" t="s">
        <v>268</v>
      </c>
      <c r="B27" s="2" t="s">
        <v>269</v>
      </c>
      <c r="C27" s="2" t="s">
        <v>109</v>
      </c>
      <c r="D27" s="2" t="s">
        <v>263</v>
      </c>
      <c r="E27" s="2" t="str">
        <f ca="1">IFERROR(__xludf.DUMMYFUNCTION("GOOGLETRANSLATE(B27,""de"",""en"")"),"I set higher goals than most people.")</f>
        <v>I set higher goals than most people.</v>
      </c>
      <c r="F27" s="2" t="str">
        <f ca="1">IFERROR(__xludf.DUMMYFUNCTION("GOOGLETRANSLATE(D27,""de"",""en"")"),"['not at all', 'exactly']")</f>
        <v>['not at all', 'exactly']</v>
      </c>
    </row>
    <row r="28" spans="1:6" x14ac:dyDescent="0.2">
      <c r="A28" s="2" t="s">
        <v>270</v>
      </c>
      <c r="B28" s="2" t="s">
        <v>271</v>
      </c>
      <c r="C28" s="2" t="s">
        <v>109</v>
      </c>
      <c r="D28" s="2" t="s">
        <v>263</v>
      </c>
      <c r="E28" s="2" t="str">
        <f ca="1">IFERROR(__xludf.DUMMYFUNCTION("GOOGLETRANSLATE(B28,""de"",""en"")"),"I hate not being the best at something.")</f>
        <v>I hate not being the best at something.</v>
      </c>
      <c r="F28" s="2" t="str">
        <f ca="1">IFERROR(__xludf.DUMMYFUNCTION("GOOGLETRANSLATE(D28,""de"",""en"")"),"['not at all', 'exactly']")</f>
        <v>['not at all', 'exactly']</v>
      </c>
    </row>
    <row r="29" spans="1:6" x14ac:dyDescent="0.2">
      <c r="A29" s="2" t="s">
        <v>272</v>
      </c>
      <c r="B29" s="2" t="s">
        <v>273</v>
      </c>
      <c r="C29" s="2" t="s">
        <v>109</v>
      </c>
      <c r="D29" s="2" t="s">
        <v>263</v>
      </c>
      <c r="E29" s="2" t="str">
        <f ca="1">IFERROR(__xludf.DUMMYFUNCTION("GOOGLETRANSLATE(B29,""de"",""en"")"),"I have extremely high goals.")</f>
        <v>I have extremely high goals.</v>
      </c>
      <c r="F29" s="2" t="str">
        <f ca="1">IFERROR(__xludf.DUMMYFUNCTION("GOOGLETRANSLATE(D29,""de"",""en"")"),"['not at all', 'exactly']")</f>
        <v>['not at all', 'exactly']</v>
      </c>
    </row>
    <row r="30" spans="1:6" x14ac:dyDescent="0.2">
      <c r="A30" s="2" t="s">
        <v>274</v>
      </c>
      <c r="B30" s="2" t="s">
        <v>275</v>
      </c>
      <c r="C30" s="2" t="s">
        <v>109</v>
      </c>
      <c r="D30" s="2" t="s">
        <v>263</v>
      </c>
      <c r="E30" s="2" t="str">
        <f ca="1">IFERROR(__xludf.DUMMYFUNCTION("GOOGLETRANSLATE(B30,""de"",""en"")"),"I want and have to be perfect.")</f>
        <v>I want and have to be perfect.</v>
      </c>
      <c r="F30" s="2" t="str">
        <f ca="1">IFERROR(__xludf.DUMMYFUNCTION("GOOGLETRANSLATE(D30,""de"",""en"")"),"['not at all', 'exactly']")</f>
        <v>['not at all', 'exactly']</v>
      </c>
    </row>
    <row r="31" spans="1:6" x14ac:dyDescent="0.2">
      <c r="A31" s="2" t="s">
        <v>276</v>
      </c>
      <c r="B31" s="2" t="s">
        <v>277</v>
      </c>
      <c r="C31" s="2" t="s">
        <v>109</v>
      </c>
      <c r="D31" s="2" t="s">
        <v>263</v>
      </c>
      <c r="E31" s="2" t="str">
        <f ca="1">IFERROR(__xludf.DUMMYFUNCTION("GOOGLETRANSLATE(B31,""de"",""en"")"),"If I'm not perfect, others won't accept me.")</f>
        <v>If I'm not perfect, others won't accept me.</v>
      </c>
      <c r="F31" s="2" t="str">
        <f ca="1">IFERROR(__xludf.DUMMYFUNCTION("GOOGLETRANSLATE(D31,""de"",""en"")"),"['not at all', 'exactly']")</f>
        <v>['not at all', 'exactly']</v>
      </c>
    </row>
    <row r="32" spans="1:6" x14ac:dyDescent="0.2">
      <c r="A32" s="2" t="s">
        <v>278</v>
      </c>
      <c r="B32" s="2" t="s">
        <v>279</v>
      </c>
      <c r="C32" s="2" t="s">
        <v>109</v>
      </c>
      <c r="D32" s="2" t="s">
        <v>110</v>
      </c>
      <c r="E32" s="2" t="str">
        <f ca="1">IFERROR(__xludf.DUMMYFUNCTION("GOOGLETRANSLATE(B32,""de"",""en"")"),"I often say to myself: Be perfect!")</f>
        <v>I often say to myself: Be perfect!</v>
      </c>
      <c r="F32" s="2" t="str">
        <f ca="1">IFERROR(__xludf.DUMMYFUNCTION("GOOGLETRANSLATE(D32,""de"",""en"")"),"['does not apply at all', 'completely applies']")</f>
        <v>['does not apply at all', 'completely applies']</v>
      </c>
    </row>
    <row r="33" spans="1:6" x14ac:dyDescent="0.2">
      <c r="A33" s="2" t="s">
        <v>280</v>
      </c>
      <c r="B33" s="2" t="s">
        <v>281</v>
      </c>
      <c r="C33" s="2" t="s">
        <v>109</v>
      </c>
      <c r="D33" s="2" t="s">
        <v>110</v>
      </c>
      <c r="E33" s="2" t="str">
        <f ca="1">IFERROR(__xludf.DUMMYFUNCTION("GOOGLETRANSLATE(B33,""de"",""en"")"),"I often say to myself: Be strong!")</f>
        <v>I often say to myself: Be strong!</v>
      </c>
      <c r="F33" s="2" t="str">
        <f ca="1">IFERROR(__xludf.DUMMYFUNCTION("GOOGLETRANSLATE(D33,""de"",""en"")"),"['does not apply at all', 'completely applies']")</f>
        <v>['does not apply at all', 'completely applies']</v>
      </c>
    </row>
    <row r="34" spans="1:6" x14ac:dyDescent="0.2">
      <c r="A34" s="2" t="s">
        <v>282</v>
      </c>
      <c r="B34" s="2" t="s">
        <v>283</v>
      </c>
      <c r="C34" s="2" t="s">
        <v>109</v>
      </c>
      <c r="D34" s="2" t="s">
        <v>110</v>
      </c>
      <c r="E34" s="2" t="str">
        <f ca="1">IFERROR(__xludf.DUMMYFUNCTION("GOOGLETRANSLATE(B34,""de"",""en"")"),"I often say to myself: please everyone!")</f>
        <v>I often say to myself: please everyone!</v>
      </c>
      <c r="F34" s="2" t="str">
        <f ca="1">IFERROR(__xludf.DUMMYFUNCTION("GOOGLETRANSLATE(D34,""de"",""en"")"),"['does not apply at all', 'completely applies']")</f>
        <v>['does not apply at all', 'completely applies']</v>
      </c>
    </row>
    <row r="35" spans="1:6" x14ac:dyDescent="0.2">
      <c r="A35" s="2" t="s">
        <v>284</v>
      </c>
      <c r="B35" s="2" t="s">
        <v>285</v>
      </c>
      <c r="C35" s="2" t="s">
        <v>109</v>
      </c>
      <c r="D35" s="2" t="s">
        <v>110</v>
      </c>
      <c r="E35" s="2" t="str">
        <f ca="1">IFERROR(__xludf.DUMMYFUNCTION("GOOGLETRANSLATE(B35,""de"",""en"")"),"I often say to myself: Try harder!")</f>
        <v>I often say to myself: Try harder!</v>
      </c>
      <c r="F35" s="2" t="str">
        <f ca="1">IFERROR(__xludf.DUMMYFUNCTION("GOOGLETRANSLATE(D35,""de"",""en"")"),"['does not apply at all', 'completely applies']")</f>
        <v>['does not apply at all', 'completely applies']</v>
      </c>
    </row>
    <row r="36" spans="1:6" x14ac:dyDescent="0.2">
      <c r="A36" s="2" t="s">
        <v>286</v>
      </c>
      <c r="B36" s="2" t="s">
        <v>287</v>
      </c>
      <c r="C36" s="2" t="s">
        <v>109</v>
      </c>
      <c r="D36" s="2" t="s">
        <v>110</v>
      </c>
      <c r="E36" s="2" t="str">
        <f ca="1">IFERROR(__xludf.DUMMYFUNCTION("GOOGLETRANSLATE(B36,""de"",""en"")"),"I often say to myself: Go faster!")</f>
        <v>I often say to myself: Go faster!</v>
      </c>
      <c r="F36" s="2" t="str">
        <f ca="1">IFERROR(__xludf.DUMMYFUNCTION("GOOGLETRANSLATE(D36,""de"",""en"")"),"['does not apply at all', 'completely applies']")</f>
        <v>['does not apply at all', 'completely applies']</v>
      </c>
    </row>
    <row r="37" spans="1:6" x14ac:dyDescent="0.2">
      <c r="A37" s="2" t="s">
        <v>288</v>
      </c>
      <c r="B37" s="2" t="s">
        <v>289</v>
      </c>
      <c r="C37" s="2" t="s">
        <v>109</v>
      </c>
      <c r="D37" s="2" t="s">
        <v>290</v>
      </c>
      <c r="E37" s="2" t="str">
        <f ca="1">IFERROR(__xludf.DUMMYFUNCTION("GOOGLETRANSLATE(B37,""de"",""en"")"),"I have one worry after another.")</f>
        <v>I have one worry after another.</v>
      </c>
      <c r="F37" s="2" t="str">
        <f ca="1">IFERROR(__xludf.DUMMYFUNCTION("GOOGLETRANSLATE(D37,""de"",""en"")"),"['not at all true', 'somewhat true', 'somewhat true', 'mostly true', 'completely true']")</f>
        <v>['not at all true', 'somewhat true', 'somewhat true', 'mostly true', 'completely true']</v>
      </c>
    </row>
    <row r="38" spans="1:6" x14ac:dyDescent="0.2">
      <c r="A38" s="2" t="s">
        <v>291</v>
      </c>
      <c r="B38" s="2" t="s">
        <v>292</v>
      </c>
      <c r="C38" s="2" t="s">
        <v>109</v>
      </c>
      <c r="D38" s="2" t="s">
        <v>290</v>
      </c>
      <c r="E38" s="2" t="str">
        <f ca="1">IFERROR(__xludf.DUMMYFUNCTION("GOOGLETRANSLATE(B38,""de"",""en"")"),"Because of my worries, I can no longer complete all of my tasks. I worry about things more than I need to.")</f>
        <v>Because of my worries, I can no longer complete all of my tasks. I worry about things more than I need to.</v>
      </c>
      <c r="F38" s="2" t="str">
        <f ca="1">IFERROR(__xludf.DUMMYFUNCTION("GOOGLETRANSLATE(D38,""de"",""en"")"),"['not at all true', 'somewhat true', 'somewhat true', 'mostly true', 'completely true']")</f>
        <v>['not at all true', 'somewhat true', 'somewhat true', 'mostly true', 'completely true']</v>
      </c>
    </row>
    <row r="39" spans="1:6" x14ac:dyDescent="0.2">
      <c r="A39" s="2" t="s">
        <v>293</v>
      </c>
      <c r="B39" s="2" t="s">
        <v>294</v>
      </c>
      <c r="C39" s="2" t="s">
        <v>109</v>
      </c>
      <c r="D39" s="2" t="s">
        <v>290</v>
      </c>
      <c r="E39" s="2" t="str">
        <f ca="1">IFERROR(__xludf.DUMMYFUNCTION("GOOGLETRANSLATE(B39,""de"",""en"")"),"I suffer from my worries.")</f>
        <v>I suffer from my worries.</v>
      </c>
      <c r="F39" s="2" t="str">
        <f ca="1">IFERROR(__xludf.DUMMYFUNCTION("GOOGLETRANSLATE(D39,""de"",""en"")"),"['not at all true', 'somewhat true', 'somewhat true', 'mostly true', 'completely true']")</f>
        <v>['not at all true', 'somewhat true', 'somewhat true', 'mostly true', 'completely true']</v>
      </c>
    </row>
    <row r="40" spans="1:6" x14ac:dyDescent="0.2">
      <c r="A40" s="2" t="s">
        <v>295</v>
      </c>
      <c r="B40" s="2" t="s">
        <v>296</v>
      </c>
      <c r="C40" s="2" t="s">
        <v>109</v>
      </c>
      <c r="D40" s="2" t="s">
        <v>290</v>
      </c>
      <c r="E40" s="2" t="str">
        <f ca="1">IFERROR(__xludf.DUMMYFUNCTION("GOOGLETRANSLATE(B40,""de"",""en"")"),"It's impossible for me to distract myself from my worries.")</f>
        <v>It's impossible for me to distract myself from my worries.</v>
      </c>
      <c r="F40" s="2" t="str">
        <f ca="1">IFERROR(__xludf.DUMMYFUNCTION("GOOGLETRANSLATE(D40,""de"",""en"")"),"['not at all true', 'somewhat true', 'somewhat true', 'mostly true', 'completely true']")</f>
        <v>['not at all true', 'somewhat true', 'somewhat true', 'mostly true', 'completely true']</v>
      </c>
    </row>
    <row r="41" spans="1:6" x14ac:dyDescent="0.2">
      <c r="A41" s="2" t="s">
        <v>297</v>
      </c>
      <c r="B41" s="2" t="s">
        <v>298</v>
      </c>
      <c r="C41" s="2" t="s">
        <v>109</v>
      </c>
      <c r="D41" s="2" t="s">
        <v>299</v>
      </c>
      <c r="E41" s="2" t="str">
        <f ca="1">IFERROR(__xludf.DUMMYFUNCTION("GOOGLETRANSLATE(B41,""de"",""en"")"),"I tend to ruminate or think about things that have happened to me for a very long time.")</f>
        <v>I tend to ruminate or think about things that have happened to me for a very long time.</v>
      </c>
      <c r="F41" s="2" t="str">
        <f ca="1">IFERROR(__xludf.DUMMYFUNCTION("GOOGLETRANSLATE(D41,""de"",""en"")"),"['not at all', 'very']")</f>
        <v>['not at all', 'very']</v>
      </c>
    </row>
    <row r="42" spans="1:6" x14ac:dyDescent="0.2">
      <c r="A42" s="2" t="s">
        <v>300</v>
      </c>
      <c r="B42" s="2" t="s">
        <v>301</v>
      </c>
      <c r="C42" s="2" t="s">
        <v>109</v>
      </c>
      <c r="D42" s="2" t="s">
        <v>299</v>
      </c>
      <c r="E42" s="2" t="str">
        <f ca="1">IFERROR(__xludf.DUMMYFUNCTION("GOOGLETRANSLATE(B42,""de"",""en"")"),"I tend to rehash things in my head that are over or have happened.")</f>
        <v>I tend to rehash things in my head that are over or have happened.</v>
      </c>
      <c r="F42" s="2" t="str">
        <f ca="1">IFERROR(__xludf.DUMMYFUNCTION("GOOGLETRANSLATE(D42,""de"",""en"")"),"['not at all', 'very']")</f>
        <v>['not at all', 'very']</v>
      </c>
    </row>
    <row r="43" spans="1:6" x14ac:dyDescent="0.2">
      <c r="A43" s="2" t="s">
        <v>302</v>
      </c>
      <c r="B43" s="2" t="s">
        <v>303</v>
      </c>
      <c r="C43" s="2" t="s">
        <v>109</v>
      </c>
      <c r="D43" s="2" t="s">
        <v>299</v>
      </c>
      <c r="E43" s="2" t="str">
        <f ca="1">IFERROR(__xludf.DUMMYFUNCTION("GOOGLETRANSLATE(B43,""de"",""en"")"),"Sometimes it is difficult for me to switch off thoughts about the past or things that have not been done.")</f>
        <v>Sometimes it is difficult for me to switch off thoughts about the past or things that have not been done.</v>
      </c>
      <c r="F43" s="2" t="str">
        <f ca="1">IFERROR(__xludf.DUMMYFUNCTION("GOOGLETRANSLATE(D43,""de"",""en"")"),"['not at all', 'very']")</f>
        <v>['not at all', 'very']</v>
      </c>
    </row>
    <row r="44" spans="1:6" x14ac:dyDescent="0.2">
      <c r="A44" s="2" t="s">
        <v>304</v>
      </c>
      <c r="B44" s="2" t="s">
        <v>305</v>
      </c>
      <c r="C44" s="2" t="s">
        <v>109</v>
      </c>
      <c r="D44" s="2" t="s">
        <v>299</v>
      </c>
      <c r="E44" s="2" t="str">
        <f ca="1">IFERROR(__xludf.DUMMYFUNCTION("GOOGLETRANSLATE(B44,""de"",""en"")"),"I often replay in my mind how I behaved or should have behaved better in certain situations.")</f>
        <v>I often replay in my mind how I behaved or should have behaved better in certain situations.</v>
      </c>
      <c r="F44" s="2" t="str">
        <f ca="1">IFERROR(__xludf.DUMMYFUNCTION("GOOGLETRANSLATE(D44,""de"",""en"")"),"['not at all', 'very']")</f>
        <v>['not at all', 'very']</v>
      </c>
    </row>
    <row r="45" spans="1:6" x14ac:dyDescent="0.2">
      <c r="A45" s="2" t="s">
        <v>306</v>
      </c>
      <c r="B45" s="2" t="s">
        <v>307</v>
      </c>
      <c r="C45" s="2" t="s">
        <v>109</v>
      </c>
      <c r="D45" s="2" t="s">
        <v>299</v>
      </c>
      <c r="E45" s="2" t="str">
        <f ca="1">IFERROR(__xludf.DUMMYFUNCTION("GOOGLETRANSLATE(B45,""de"",""en"")"),"I often ponder or think about myself and the past for a long time.")</f>
        <v>I often ponder or think about myself and the past for a long time.</v>
      </c>
      <c r="F45" s="2" t="str">
        <f ca="1">IFERROR(__xludf.DUMMYFUNCTION("GOOGLETRANSLATE(D45,""de"",""en"")"),"['not at all', 'very']")</f>
        <v>['not at all', 'very']</v>
      </c>
    </row>
    <row r="46" spans="1:6" x14ac:dyDescent="0.2">
      <c r="A46" s="2" t="s">
        <v>308</v>
      </c>
      <c r="B46" s="2" t="s">
        <v>309</v>
      </c>
      <c r="C46" s="2" t="s">
        <v>109</v>
      </c>
      <c r="D46" s="2" t="s">
        <v>299</v>
      </c>
      <c r="E46" s="2" t="str">
        <f ca="1">IFERROR(__xludf.DUMMYFUNCTION("GOOGLETRANSLATE(B46,""de"",""en"")"),"I often ruminate about my shortcomings, mistakes and failures.")</f>
        <v>I often ruminate about my shortcomings, mistakes and failures.</v>
      </c>
      <c r="F46" s="2" t="str">
        <f ca="1">IFERROR(__xludf.DUMMYFUNCTION("GOOGLETRANSLATE(D46,""de"",""en"")"),"['not at all', 'very']")</f>
        <v>['not at all', 'very']</v>
      </c>
    </row>
    <row r="47" spans="1:6" x14ac:dyDescent="0.2">
      <c r="A47" s="2" t="s">
        <v>310</v>
      </c>
      <c r="B47" s="2" t="s">
        <v>311</v>
      </c>
      <c r="C47" s="2" t="s">
        <v>109</v>
      </c>
      <c r="D47" s="2" t="s">
        <v>110</v>
      </c>
      <c r="E47" s="2" t="str">
        <f ca="1">IFERROR(__xludf.DUMMYFUNCTION("GOOGLETRANSLATE(B47,""de"",""en"")"),"I am rarely in nature or have no nature around me.")</f>
        <v>I am rarely in nature or have no nature around me.</v>
      </c>
      <c r="F47" s="2" t="str">
        <f ca="1">IFERROR(__xludf.DUMMYFUNCTION("GOOGLETRANSLATE(D47,""de"",""en"")"),"['does not apply at all', 'completely applies']")</f>
        <v>['does not apply at all', 'completely applies']</v>
      </c>
    </row>
    <row r="48" spans="1:6" x14ac:dyDescent="0.2">
      <c r="A48" s="2" t="s">
        <v>312</v>
      </c>
      <c r="B48" s="2" t="s">
        <v>313</v>
      </c>
      <c r="C48" s="2" t="s">
        <v>109</v>
      </c>
      <c r="D48" s="2" t="s">
        <v>110</v>
      </c>
      <c r="E48" s="2" t="str">
        <f ca="1">IFERROR(__xludf.DUMMYFUNCTION("GOOGLETRANSLATE(B48,""de"",""en"")"),"I don't move enough.")</f>
        <v>I don't move enough.</v>
      </c>
      <c r="F48" s="2" t="str">
        <f ca="1">IFERROR(__xludf.DUMMYFUNCTION("GOOGLETRANSLATE(D48,""de"",""en"")"),"['does not apply at all', 'completely applies']")</f>
        <v>['does not apply at all', 'completely applies']</v>
      </c>
    </row>
    <row r="49" spans="1:6" x14ac:dyDescent="0.2">
      <c r="A49" s="2" t="s">
        <v>314</v>
      </c>
      <c r="B49" s="2" t="s">
        <v>315</v>
      </c>
      <c r="C49" s="2" t="s">
        <v>109</v>
      </c>
      <c r="D49" s="2" t="s">
        <v>110</v>
      </c>
      <c r="E49" s="2" t="str">
        <f ca="1">IFERROR(__xludf.DUMMYFUNCTION("GOOGLETRANSLATE(B49,""de"",""en"")"),"I regularly go for walks in the forest (neg.).")</f>
        <v>I regularly go for walks in the forest (neg.).</v>
      </c>
      <c r="F49" s="2" t="str">
        <f ca="1">IFERROR(__xludf.DUMMYFUNCTION("GOOGLETRANSLATE(D49,""de"",""en"")"),"['does not apply at all', 'completely applies']")</f>
        <v>['does not apply at all', 'completely applies']</v>
      </c>
    </row>
    <row r="50" spans="1:6" x14ac:dyDescent="0.2">
      <c r="A50" s="2" t="s">
        <v>316</v>
      </c>
      <c r="B50" s="2" t="s">
        <v>317</v>
      </c>
      <c r="C50" s="2" t="s">
        <v>109</v>
      </c>
      <c r="D50" s="2" t="s">
        <v>110</v>
      </c>
      <c r="E50" s="2" t="str">
        <f ca="1">IFERROR(__xludf.DUMMYFUNCTION("GOOGLETRANSLATE(B50,""de"",""en"")"),"I regularly do recreational sports and fitness training (neg.)")</f>
        <v>I regularly do recreational sports and fitness training (neg.)</v>
      </c>
      <c r="F50" s="2" t="str">
        <f ca="1">IFERROR(__xludf.DUMMYFUNCTION("GOOGLETRANSLATE(D50,""de"",""en"")"),"['does not apply at all', 'completely applies']")</f>
        <v>['does not apply at all', 'completely applies']</v>
      </c>
    </row>
    <row r="51" spans="1:6" x14ac:dyDescent="0.2">
      <c r="A51" s="2" t="s">
        <v>318</v>
      </c>
      <c r="B51" s="2" t="s">
        <v>319</v>
      </c>
      <c r="C51" s="2" t="s">
        <v>109</v>
      </c>
      <c r="D51" s="2" t="s">
        <v>110</v>
      </c>
      <c r="E51" s="2" t="str">
        <f ca="1">IFERROR(__xludf.DUMMYFUNCTION("GOOGLETRANSLATE(B51,""de"",""en"")"),"I love hiking and relaxing in nature (neg.)")</f>
        <v>I love hiking and relaxing in nature (neg.)</v>
      </c>
      <c r="F51" s="2" t="str">
        <f ca="1">IFERROR(__xludf.DUMMYFUNCTION("GOOGLETRANSLATE(D51,""de"",""en"")"),"['does not apply at all', 'completely applies']")</f>
        <v>['does not apply at all', 'completely applies']</v>
      </c>
    </row>
    <row r="52" spans="1:6" x14ac:dyDescent="0.2">
      <c r="A52" s="2" t="s">
        <v>320</v>
      </c>
      <c r="B52" s="2" t="s">
        <v>321</v>
      </c>
      <c r="C52" s="2" t="s">
        <v>109</v>
      </c>
      <c r="D52" s="2" t="s">
        <v>110</v>
      </c>
      <c r="E52" s="2" t="str">
        <f ca="1">IFERROR(__xludf.DUMMYFUNCTION("GOOGLETRANSLATE(B52,""de"",""en"")"),"I haven't done a detailed nature hike in a long time.")</f>
        <v>I haven't done a detailed nature hike in a long time.</v>
      </c>
      <c r="F52" s="2" t="str">
        <f ca="1">IFERROR(__xludf.DUMMYFUNCTION("GOOGLETRANSLATE(D52,""de"",""en"")"),"['does not apply at all', 'completely applies']")</f>
        <v>['does not apply at all', 'completely applies']</v>
      </c>
    </row>
    <row r="53" spans="1:6" x14ac:dyDescent="0.2"/>
    <row r="54" spans="1:6" x14ac:dyDescent="0.2"/>
    <row r="55" spans="1:6" x14ac:dyDescent="0.2"/>
    <row r="56" spans="1:6" x14ac:dyDescent="0.2"/>
    <row r="57" spans="1:6" x14ac:dyDescent="0.2"/>
    <row r="58" spans="1:6" x14ac:dyDescent="0.2"/>
    <row r="59" spans="1:6" x14ac:dyDescent="0.2"/>
    <row r="60" spans="1:6" x14ac:dyDescent="0.2"/>
    <row r="61" spans="1:6" x14ac:dyDescent="0.2"/>
    <row r="62" spans="1:6" x14ac:dyDescent="0.2"/>
    <row r="63" spans="1:6" x14ac:dyDescent="0.2"/>
    <row r="64" spans="1:6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sqref="A1:F49"/>
    </sheetView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322</v>
      </c>
      <c r="B2" s="2" t="s">
        <v>323</v>
      </c>
      <c r="C2" s="2" t="s">
        <v>324</v>
      </c>
      <c r="D2" s="2" t="s">
        <v>325</v>
      </c>
      <c r="E2" s="2" t="str">
        <f ca="1">IFERROR(__xludf.DUMMYFUNCTION("GOOGLETRANSLATE(B2,""de"",""en"")"),"As a rule, I enjoy going to work.")</f>
        <v>As a rule, I enjoy going to work.</v>
      </c>
      <c r="F2" s="2" t="str">
        <f ca="1">IFERROR(__xludf.DUMMYFUNCTION("GOOGLETRANSLATE(D2,""de"",""en"")"),"['not true at all', 'completely true']")</f>
        <v>['not true at all', 'completely true']</v>
      </c>
    </row>
    <row r="3" spans="1:6" x14ac:dyDescent="0.2">
      <c r="A3" s="2" t="s">
        <v>326</v>
      </c>
      <c r="B3" s="2" t="s">
        <v>327</v>
      </c>
      <c r="C3" s="2" t="s">
        <v>324</v>
      </c>
      <c r="D3" s="2" t="s">
        <v>325</v>
      </c>
      <c r="E3" s="2" t="str">
        <f ca="1">IFERROR(__xludf.DUMMYFUNCTION("GOOGLETRANSLATE(B3,""de"",""en"")"),"I understand the connections that are important for my work.")</f>
        <v>I understand the connections that are important for my work.</v>
      </c>
      <c r="F3" s="2" t="str">
        <f ca="1">IFERROR(__xludf.DUMMYFUNCTION("GOOGLETRANSLATE(D3,""de"",""en"")"),"['not true at all', 'completely true']")</f>
        <v>['not true at all', 'completely true']</v>
      </c>
    </row>
    <row r="4" spans="1:6" x14ac:dyDescent="0.2">
      <c r="A4" s="2" t="s">
        <v>328</v>
      </c>
      <c r="B4" s="2" t="s">
        <v>329</v>
      </c>
      <c r="C4" s="2" t="s">
        <v>324</v>
      </c>
      <c r="D4" s="2" t="s">
        <v>325</v>
      </c>
      <c r="E4" s="2" t="str">
        <f ca="1">IFERROR(__xludf.DUMMYFUNCTION("GOOGLETRANSLATE(B4,""de"",""en"")"),"What I work for makes sense to me.")</f>
        <v>What I work for makes sense to me.</v>
      </c>
      <c r="F4" s="2" t="str">
        <f ca="1">IFERROR(__xludf.DUMMYFUNCTION("GOOGLETRANSLATE(D4,""de"",""en"")"),"['not true at all', 'completely true']")</f>
        <v>['not true at all', 'completely true']</v>
      </c>
    </row>
    <row r="5" spans="1:6" x14ac:dyDescent="0.2">
      <c r="A5" s="2" t="s">
        <v>330</v>
      </c>
      <c r="B5" s="2" t="s">
        <v>331</v>
      </c>
      <c r="C5" s="2" t="s">
        <v>324</v>
      </c>
      <c r="D5" s="2" t="s">
        <v>325</v>
      </c>
      <c r="E5" s="2" t="str">
        <f ca="1">IFERROR(__xludf.DUMMYFUNCTION("GOOGLETRANSLATE(B5,""de"",""en"")"),"The demands on me are clear to me.")</f>
        <v>The demands on me are clear to me.</v>
      </c>
      <c r="F5" s="2" t="str">
        <f ca="1">IFERROR(__xludf.DUMMYFUNCTION("GOOGLETRANSLATE(D5,""de"",""en"")"),"['not true at all', 'completely true']")</f>
        <v>['not true at all', 'completely true']</v>
      </c>
    </row>
    <row r="6" spans="1:6" x14ac:dyDescent="0.2">
      <c r="A6" s="2" t="s">
        <v>332</v>
      </c>
      <c r="B6" s="2" t="s">
        <v>333</v>
      </c>
      <c r="C6" s="2" t="s">
        <v>324</v>
      </c>
      <c r="D6" s="2" t="s">
        <v>325</v>
      </c>
      <c r="E6" s="2" t="str">
        <f ca="1">IFERROR(__xludf.DUMMYFUNCTION("GOOGLETRANSLATE(B6,""de"",""en"")"),"The work enriches the rest of my life.")</f>
        <v>The work enriches the rest of my life.</v>
      </c>
      <c r="F6" s="2" t="str">
        <f ca="1">IFERROR(__xludf.DUMMYFUNCTION("GOOGLETRANSLATE(D6,""de"",""en"")"),"['not true at all', 'completely true']")</f>
        <v>['not true at all', 'completely true']</v>
      </c>
    </row>
    <row r="7" spans="1:6" x14ac:dyDescent="0.2">
      <c r="A7" s="2" t="s">
        <v>334</v>
      </c>
      <c r="B7" s="2" t="s">
        <v>335</v>
      </c>
      <c r="C7" s="2" t="s">
        <v>324</v>
      </c>
      <c r="D7" s="2" t="s">
        <v>325</v>
      </c>
      <c r="E7" s="2" t="str">
        <f ca="1">IFERROR(__xludf.DUMMYFUNCTION("GOOGLETRANSLATE(B7,""de"",""en"")"),"I am up to date on the necessary qualifications.")</f>
        <v>I am up to date on the necessary qualifications.</v>
      </c>
      <c r="F7" s="2" t="str">
        <f ca="1">IFERROR(__xludf.DUMMYFUNCTION("GOOGLETRANSLATE(D7,""de"",""en"")"),"['not true at all', 'completely true']")</f>
        <v>['not true at all', 'completely true']</v>
      </c>
    </row>
    <row r="8" spans="1:6" x14ac:dyDescent="0.2">
      <c r="A8" s="2" t="s">
        <v>336</v>
      </c>
      <c r="B8" s="2" t="s">
        <v>337</v>
      </c>
      <c r="C8" s="2" t="s">
        <v>324</v>
      </c>
      <c r="D8" s="2" t="s">
        <v>325</v>
      </c>
      <c r="E8" s="2" t="str">
        <f ca="1">IFERROR(__xludf.DUMMYFUNCTION("GOOGLETRANSLATE(B8,""de"",""en"")"),"My personality and my professional opportunities fit together.")</f>
        <v>My personality and my professional opportunities fit together.</v>
      </c>
      <c r="F8" s="2" t="str">
        <f ca="1">IFERROR(__xludf.DUMMYFUNCTION("GOOGLETRANSLATE(D8,""de"",""en"")"),"['not true at all', 'completely true']")</f>
        <v>['not true at all', 'completely true']</v>
      </c>
    </row>
    <row r="9" spans="1:6" x14ac:dyDescent="0.2">
      <c r="A9" s="2" t="s">
        <v>338</v>
      </c>
      <c r="B9" s="2" t="s">
        <v>339</v>
      </c>
      <c r="C9" s="2" t="s">
        <v>324</v>
      </c>
      <c r="D9" s="2" t="s">
        <v>325</v>
      </c>
      <c r="E9" s="2" t="str">
        <f ca="1">IFERROR(__xludf.DUMMYFUNCTION("GOOGLETRANSLATE(B9,""de"",""en"")"),"I can handle my stress well.")</f>
        <v>I can handle my stress well.</v>
      </c>
      <c r="F9" s="2" t="str">
        <f ca="1">IFERROR(__xludf.DUMMYFUNCTION("GOOGLETRANSLATE(D9,""de"",""en"")"),"['not true at all', 'completely true']")</f>
        <v>['not true at all', 'completely true']</v>
      </c>
    </row>
    <row r="10" spans="1:6" x14ac:dyDescent="0.2">
      <c r="A10" s="2" t="s">
        <v>340</v>
      </c>
      <c r="B10" s="2" t="s">
        <v>341</v>
      </c>
      <c r="C10" s="2" t="s">
        <v>216</v>
      </c>
      <c r="D10" s="2" t="s">
        <v>342</v>
      </c>
      <c r="E10" s="2" t="str">
        <f ca="1">IFERROR(__xludf.DUMMYFUNCTION("GOOGLETRANSLATE(B10,""de"",""en"")"),"How many people are close enough to you that you can rely on them when you have serious personal problems?")</f>
        <v>How many people are close enough to you that you can rely on them when you have serious personal problems?</v>
      </c>
      <c r="F10" s="2" t="str">
        <f ca="1">IFERROR(__xludf.DUMMYFUNCTION("GOOGLETRANSLATE(D10,""de"",""en"")"),"['Nobody', '1', '2', '3', '5', '6 and more']")</f>
        <v>['Nobody', '1', '2', '3', '5', '6 and more']</v>
      </c>
    </row>
    <row r="11" spans="1:6" x14ac:dyDescent="0.2">
      <c r="A11" s="2" t="s">
        <v>343</v>
      </c>
      <c r="B11" s="2" t="s">
        <v>344</v>
      </c>
      <c r="C11" s="2" t="s">
        <v>216</v>
      </c>
      <c r="D11" s="2" t="s">
        <v>342</v>
      </c>
      <c r="E11" s="2" t="str">
        <f ca="1">IFERROR(__xludf.DUMMYFUNCTION("GOOGLETRANSLATE(B11,""de"",""en"")"),"Who gives you support and supports your self-esteem when you are stressed or feeling bad?")</f>
        <v>Who gives you support and supports your self-esteem when you are stressed or feeling bad?</v>
      </c>
      <c r="F11" s="2" t="str">
        <f ca="1">IFERROR(__xludf.DUMMYFUNCTION("GOOGLETRANSLATE(D11,""de"",""en"")"),"['Nobody', '1', '2', '3', '5', '6 and more']")</f>
        <v>['Nobody', '1', '2', '3', '5', '6 and more']</v>
      </c>
    </row>
    <row r="12" spans="1:6" x14ac:dyDescent="0.2">
      <c r="A12" s="2" t="s">
        <v>345</v>
      </c>
      <c r="B12" s="2" t="s">
        <v>346</v>
      </c>
      <c r="C12" s="2" t="s">
        <v>216</v>
      </c>
      <c r="D12" s="2" t="s">
        <v>342</v>
      </c>
      <c r="E12" s="2" t="str">
        <f ca="1">IFERROR(__xludf.DUMMYFUNCTION("GOOGLETRANSLATE(B12,""de"",""en"")"),"How many people are available to you when you need advice about life problems or a conversation about a stressful situation to clarify?")</f>
        <v>How many people are available to you when you need advice about life problems or a conversation about a stressful situation to clarify?</v>
      </c>
      <c r="F12" s="2" t="str">
        <f ca="1">IFERROR(__xludf.DUMMYFUNCTION("GOOGLETRANSLATE(D12,""de"",""en"")"),"['Nobody', '1', '2', '3', '5', '6 and more']")</f>
        <v>['Nobody', '1', '2', '3', '5', '6 and more']</v>
      </c>
    </row>
    <row r="13" spans="1:6" x14ac:dyDescent="0.2">
      <c r="A13" s="2" t="s">
        <v>347</v>
      </c>
      <c r="B13" s="2" t="s">
        <v>348</v>
      </c>
      <c r="C13" s="2" t="s">
        <v>109</v>
      </c>
      <c r="D13" s="2" t="s">
        <v>349</v>
      </c>
      <c r="E13" s="2" t="str">
        <f ca="1">IFERROR(__xludf.DUMMYFUNCTION("GOOGLETRANSLATE(B13,""de"",""en"")"),"How interested are other people in you and what you do?")</f>
        <v>How interested are other people in you and what you do?</v>
      </c>
      <c r="F13" s="2" t="str">
        <f ca="1">IFERROR(__xludf.DUMMYFUNCTION("GOOGLETRANSLATE(D13,""de"",""en"")"),"['no interest', 'little interest', 'moderate interest', 'some interest', 'a lot of interest']")</f>
        <v>['no interest', 'little interest', 'moderate interest', 'some interest', 'a lot of interest']</v>
      </c>
    </row>
    <row r="14" spans="1:6" x14ac:dyDescent="0.2">
      <c r="A14" s="2" t="s">
        <v>350</v>
      </c>
      <c r="B14" s="2" t="s">
        <v>351</v>
      </c>
      <c r="C14" s="2" t="s">
        <v>109</v>
      </c>
      <c r="D14" s="2" t="s">
        <v>352</v>
      </c>
      <c r="E14" s="2" t="str">
        <f ca="1">IFERROR(__xludf.DUMMYFUNCTION("GOOGLETRANSLATE(B14,""de"",""en"")"),"How easy is it for you to get practical help from your neighbors when you need it?")</f>
        <v>How easy is it for you to get practical help from your neighbors when you need it?</v>
      </c>
      <c r="F14" s="2" t="str">
        <f ca="1">IFERROR(__xludf.DUMMYFUNCTION("GOOGLETRANSLATE(D14,""de"",""en"")"),"['very difficult', 'difficult', 'possible', 'easy', 'very easy']")</f>
        <v>['very difficult', 'difficult', 'possible', 'easy', 'very easy']</v>
      </c>
    </row>
    <row r="15" spans="1:6" x14ac:dyDescent="0.2">
      <c r="A15" s="2" t="s">
        <v>353</v>
      </c>
      <c r="B15" s="2" t="s">
        <v>354</v>
      </c>
      <c r="C15" s="2" t="s">
        <v>109</v>
      </c>
      <c r="D15" s="2" t="s">
        <v>110</v>
      </c>
      <c r="E15" s="2" t="str">
        <f ca="1">IFERROR(__xludf.DUMMYFUNCTION("GOOGLETRANSLATE(B15,""de"",""en"")"),"I very rarely have the feeling of being in an unfamiliar situation and not knowing what to do.")</f>
        <v>I very rarely have the feeling of being in an unfamiliar situation and not knowing what to do.</v>
      </c>
      <c r="F15" s="2" t="str">
        <f ca="1">IFERROR(__xludf.DUMMYFUNCTION("GOOGLETRANSLATE(D15,""de"",""en"")"),"['does not apply at all', 'completely applies']")</f>
        <v>['does not apply at all', 'completely applies']</v>
      </c>
    </row>
    <row r="16" spans="1:6" x14ac:dyDescent="0.2">
      <c r="A16" s="2" t="s">
        <v>355</v>
      </c>
      <c r="B16" s="2" t="s">
        <v>356</v>
      </c>
      <c r="C16" s="2" t="s">
        <v>109</v>
      </c>
      <c r="D16" s="2" t="s">
        <v>110</v>
      </c>
      <c r="E16" s="2" t="str">
        <f ca="1">IFERROR(__xludf.DUMMYFUNCTION("GOOGLETRANSLATE(B16,""de"",""en"")"),"My feelings and thoughts are almost never confused.")</f>
        <v>My feelings and thoughts are almost never confused.</v>
      </c>
      <c r="F16" s="2" t="str">
        <f ca="1">IFERROR(__xludf.DUMMYFUNCTION("GOOGLETRANSLATE(D16,""de"",""en"")"),"['does not apply at all', 'completely applies']")</f>
        <v>['does not apply at all', 'completely applies']</v>
      </c>
    </row>
    <row r="17" spans="1:6" x14ac:dyDescent="0.2">
      <c r="A17" s="2" t="s">
        <v>357</v>
      </c>
      <c r="B17" s="2" t="s">
        <v>358</v>
      </c>
      <c r="C17" s="2" t="s">
        <v>109</v>
      </c>
      <c r="D17" s="2" t="s">
        <v>110</v>
      </c>
      <c r="E17" s="2" t="str">
        <f ca="1">IFERROR(__xludf.DUMMYFUNCTION("GOOGLETRANSLATE(B17,""de"",""en"")"),"Even though I have a strong character, there are always situations in which I feel like a sad loser (neg.).")</f>
        <v>Even though I have a strong character, there are always situations in which I feel like a sad loser (neg.).</v>
      </c>
      <c r="F17" s="2" t="str">
        <f ca="1">IFERROR(__xludf.DUMMYFUNCTION("GOOGLETRANSLATE(D17,""de"",""en"")"),"['does not apply at all', 'completely applies']")</f>
        <v>['does not apply at all', 'completely applies']</v>
      </c>
    </row>
    <row r="18" spans="1:6" x14ac:dyDescent="0.2">
      <c r="A18" s="2" t="s">
        <v>359</v>
      </c>
      <c r="B18" s="2" t="s">
        <v>360</v>
      </c>
      <c r="C18" s="2" t="s">
        <v>109</v>
      </c>
      <c r="D18" s="2" t="s">
        <v>110</v>
      </c>
      <c r="E18" s="2" t="str">
        <f ca="1">IFERROR(__xludf.DUMMYFUNCTION("GOOGLETRANSLATE(B18,""de"",""en"")"),"I often feel like the things I do in my life make almost no sense (neg).")</f>
        <v>I often feel like the things I do in my life make almost no sense (neg).</v>
      </c>
      <c r="F18" s="2" t="str">
        <f ca="1">IFERROR(__xludf.DUMMYFUNCTION("GOOGLETRANSLATE(D18,""de"",""en"")"),"['does not apply at all', 'completely applies']")</f>
        <v>['does not apply at all', 'completely applies']</v>
      </c>
    </row>
    <row r="19" spans="1:6" x14ac:dyDescent="0.2">
      <c r="A19" s="2" t="s">
        <v>361</v>
      </c>
      <c r="B19" s="2" t="s">
        <v>362</v>
      </c>
      <c r="C19" s="2" t="s">
        <v>109</v>
      </c>
      <c r="D19" s="2" t="s">
        <v>110</v>
      </c>
      <c r="E19" s="2" t="str">
        <f ca="1">IFERROR(__xludf.DUMMYFUNCTION("GOOGLETRANSLATE(B19,""de"",""en"")"),"When I think about my life, I often find it worth living.")</f>
        <v>When I think about my life, I often find it worth living.</v>
      </c>
      <c r="F19" s="2" t="str">
        <f ca="1">IFERROR(__xludf.DUMMYFUNCTION("GOOGLETRANSLATE(D19,""de"",""en"")"),"['does not apply at all', 'completely applies']")</f>
        <v>['does not apply at all', 'completely applies']</v>
      </c>
    </row>
    <row r="20" spans="1:6" x14ac:dyDescent="0.2">
      <c r="A20" s="2" t="s">
        <v>363</v>
      </c>
      <c r="B20" s="2" t="s">
        <v>364</v>
      </c>
      <c r="C20" s="2" t="s">
        <v>8</v>
      </c>
      <c r="D20" s="2" t="s">
        <v>365</v>
      </c>
      <c r="E20" s="2" t="str">
        <f ca="1">IFERROR(__xludf.DUMMYFUNCTION("GOOGLETRANSLATE(B20,""de"",""en"")"),"If I have plans, I follow them too.")</f>
        <v>If I have plans, I follow them too.</v>
      </c>
      <c r="F20" s="2" t="str">
        <f ca="1">IFERROR(__xludf.DUMMYFUNCTION("GOOGLETRANSLATE(D20,""de"",""en"")"),"['strongly disagree', 'strongly agree']")</f>
        <v>['strongly disagree', 'strongly agree']</v>
      </c>
    </row>
    <row r="21" spans="1:6" x14ac:dyDescent="0.2">
      <c r="A21" s="2" t="s">
        <v>366</v>
      </c>
      <c r="B21" s="2" t="s">
        <v>367</v>
      </c>
      <c r="C21" s="2" t="s">
        <v>8</v>
      </c>
      <c r="D21" s="2" t="s">
        <v>365</v>
      </c>
      <c r="E21" s="2" t="str">
        <f ca="1">IFERROR(__xludf.DUMMYFUNCTION("GOOGLETRANSLATE(B21,""de"",""en"")"),"I usually manage everything somehow.")</f>
        <v>I usually manage everything somehow.</v>
      </c>
      <c r="F21" s="2" t="str">
        <f ca="1">IFERROR(__xludf.DUMMYFUNCTION("GOOGLETRANSLATE(D21,""de"",""en"")"),"['strongly disagree', 'strongly agree']")</f>
        <v>['strongly disagree', 'strongly agree']</v>
      </c>
    </row>
    <row r="22" spans="1:6" x14ac:dyDescent="0.2">
      <c r="A22" s="2" t="s">
        <v>368</v>
      </c>
      <c r="B22" s="2" t="s">
        <v>369</v>
      </c>
      <c r="C22" s="2" t="s">
        <v>8</v>
      </c>
      <c r="D22" s="2" t="s">
        <v>365</v>
      </c>
      <c r="E22" s="2" t="str">
        <f ca="1">IFERROR(__xludf.DUMMYFUNCTION("GOOGLETRANSLATE(B22,""de"",""en"")"),"I don't let myself get thrown off track so easily.")</f>
        <v>I don't let myself get thrown off track so easily.</v>
      </c>
      <c r="F22" s="2" t="str">
        <f ca="1">IFERROR(__xludf.DUMMYFUNCTION("GOOGLETRANSLATE(D22,""de"",""en"")"),"['strongly disagree', 'strongly agree']")</f>
        <v>['strongly disagree', 'strongly agree']</v>
      </c>
    </row>
    <row r="23" spans="1:6" x14ac:dyDescent="0.2">
      <c r="A23" s="2" t="s">
        <v>370</v>
      </c>
      <c r="B23" s="2" t="s">
        <v>371</v>
      </c>
      <c r="C23" s="2" t="s">
        <v>8</v>
      </c>
      <c r="D23" s="2" t="s">
        <v>365</v>
      </c>
      <c r="E23" s="2" t="str">
        <f ca="1">IFERROR(__xludf.DUMMYFUNCTION("GOOGLETRANSLATE(B23,""de"",""en"")"),"I take things as they come.")</f>
        <v>I take things as they come.</v>
      </c>
      <c r="F23" s="2" t="str">
        <f ca="1">IFERROR(__xludf.DUMMYFUNCTION("GOOGLETRANSLATE(D23,""de"",""en"")"),"['strongly disagree', 'strongly agree']")</f>
        <v>['strongly disagree', 'strongly agree']</v>
      </c>
    </row>
    <row r="24" spans="1:6" x14ac:dyDescent="0.2">
      <c r="A24" s="2" t="s">
        <v>372</v>
      </c>
      <c r="B24" s="2" t="s">
        <v>373</v>
      </c>
      <c r="C24" s="2" t="s">
        <v>8</v>
      </c>
      <c r="D24" s="2" t="s">
        <v>365</v>
      </c>
      <c r="E24" s="2" t="str">
        <f ca="1">IFERROR(__xludf.DUMMYFUNCTION("GOOGLETRANSLATE(B24,""de"",""en"")"),"I can also force myself to do things that I don't really want to do.")</f>
        <v>I can also force myself to do things that I don't really want to do.</v>
      </c>
      <c r="F24" s="2" t="str">
        <f ca="1">IFERROR(__xludf.DUMMYFUNCTION("GOOGLETRANSLATE(D24,""de"",""en"")"),"['strongly disagree', 'strongly agree']")</f>
        <v>['strongly disagree', 'strongly agree']</v>
      </c>
    </row>
    <row r="25" spans="1:6" x14ac:dyDescent="0.2">
      <c r="A25" s="2" t="s">
        <v>374</v>
      </c>
      <c r="B25" s="2" t="s">
        <v>375</v>
      </c>
      <c r="C25" s="2" t="s">
        <v>8</v>
      </c>
      <c r="D25" s="2" t="s">
        <v>365</v>
      </c>
      <c r="E25" s="2" t="str">
        <f ca="1">IFERROR(__xludf.DUMMYFUNCTION("GOOGLETRANSLATE(B25,""de"",""en"")"),"When I'm in a difficult situation, I usually find a way out.")</f>
        <v>When I'm in a difficult situation, I usually find a way out.</v>
      </c>
      <c r="F25" s="2" t="str">
        <f ca="1">IFERROR(__xludf.DUMMYFUNCTION("GOOGLETRANSLATE(D25,""de"",""en"")"),"['strongly disagree', 'strongly agree']")</f>
        <v>['strongly disagree', 'strongly agree']</v>
      </c>
    </row>
    <row r="26" spans="1:6" x14ac:dyDescent="0.2">
      <c r="A26" s="2" t="s">
        <v>376</v>
      </c>
      <c r="B26" s="2" t="s">
        <v>377</v>
      </c>
      <c r="C26" s="2" t="s">
        <v>109</v>
      </c>
      <c r="D26" s="2" t="s">
        <v>110</v>
      </c>
      <c r="E26" s="2" t="str">
        <f ca="1">IFERROR(__xludf.DUMMYFUNCTION("GOOGLETRANSLATE(B26,""de"",""en"")"),"In difficult situations I can rely on my abilities.")</f>
        <v>In difficult situations I can rely on my abilities.</v>
      </c>
      <c r="F26" s="2" t="str">
        <f ca="1">IFERROR(__xludf.DUMMYFUNCTION("GOOGLETRANSLATE(D26,""de"",""en"")"),"['does not apply at all', 'completely applies']")</f>
        <v>['does not apply at all', 'completely applies']</v>
      </c>
    </row>
    <row r="27" spans="1:6" x14ac:dyDescent="0.2">
      <c r="A27" s="2" t="s">
        <v>378</v>
      </c>
      <c r="B27" s="2" t="s">
        <v>379</v>
      </c>
      <c r="C27" s="2" t="s">
        <v>109</v>
      </c>
      <c r="D27" s="2" t="s">
        <v>110</v>
      </c>
      <c r="E27" s="2" t="str">
        <f ca="1">IFERROR(__xludf.DUMMYFUNCTION("GOOGLETRANSLATE(B27,""de"",""en"")"),"I can overcome most problems on my own.")</f>
        <v>I can overcome most problems on my own.</v>
      </c>
      <c r="F27" s="2" t="str">
        <f ca="1">IFERROR(__xludf.DUMMYFUNCTION("GOOGLETRANSLATE(D27,""de"",""en"")"),"['does not apply at all', 'completely applies']")</f>
        <v>['does not apply at all', 'completely applies']</v>
      </c>
    </row>
    <row r="28" spans="1:6" x14ac:dyDescent="0.2">
      <c r="A28" s="2" t="s">
        <v>380</v>
      </c>
      <c r="B28" s="2" t="s">
        <v>381</v>
      </c>
      <c r="C28" s="2" t="s">
        <v>109</v>
      </c>
      <c r="D28" s="2" t="s">
        <v>110</v>
      </c>
      <c r="E28" s="2" t="str">
        <f ca="1">IFERROR(__xludf.DUMMYFUNCTION("GOOGLETRANSLATE(B28,""de"",""en"")"),"I can usually also solve strenuous and complicated tasks well.")</f>
        <v>I can usually also solve strenuous and complicated tasks well.</v>
      </c>
      <c r="F28" s="2" t="str">
        <f ca="1">IFERROR(__xludf.DUMMYFUNCTION("GOOGLETRANSLATE(D28,""de"",""en"")"),"['does not apply at all', 'completely applies']")</f>
        <v>['does not apply at all', 'completely applies']</v>
      </c>
    </row>
    <row r="29" spans="1:6" x14ac:dyDescent="0.2">
      <c r="A29" s="2" t="s">
        <v>382</v>
      </c>
      <c r="B29" s="2" t="s">
        <v>383</v>
      </c>
      <c r="C29" s="2" t="s">
        <v>109</v>
      </c>
      <c r="D29" s="2" t="s">
        <v>110</v>
      </c>
      <c r="E29" s="2" t="str">
        <f ca="1">IFERROR(__xludf.DUMMYFUNCTION("GOOGLETRANSLATE(B29,""de"",""en"")"),"All in all, I'm happy with myself.")</f>
        <v>All in all, I'm happy with myself.</v>
      </c>
      <c r="F29" s="2" t="str">
        <f ca="1">IFERROR(__xludf.DUMMYFUNCTION("GOOGLETRANSLATE(D29,""de"",""en"")"),"['does not apply at all', 'completely applies']")</f>
        <v>['does not apply at all', 'completely applies']</v>
      </c>
    </row>
    <row r="30" spans="1:6" x14ac:dyDescent="0.2">
      <c r="A30" s="2" t="s">
        <v>384</v>
      </c>
      <c r="B30" s="2" t="s">
        <v>385</v>
      </c>
      <c r="C30" s="2" t="s">
        <v>109</v>
      </c>
      <c r="D30" s="2" t="s">
        <v>110</v>
      </c>
      <c r="E30" s="2" t="str">
        <f ca="1">IFERROR(__xludf.DUMMYFUNCTION("GOOGLETRANSLATE(B30,""de"",""en"")"),"I have a number of good qualities.")</f>
        <v>I have a number of good qualities.</v>
      </c>
      <c r="F30" s="2" t="str">
        <f ca="1">IFERROR(__xludf.DUMMYFUNCTION("GOOGLETRANSLATE(D30,""de"",""en"")"),"['does not apply at all', 'completely applies']")</f>
        <v>['does not apply at all', 'completely applies']</v>
      </c>
    </row>
    <row r="31" spans="1:6" x14ac:dyDescent="0.2">
      <c r="A31" s="2" t="s">
        <v>386</v>
      </c>
      <c r="B31" s="2" t="s">
        <v>387</v>
      </c>
      <c r="C31" s="2" t="s">
        <v>109</v>
      </c>
      <c r="D31" s="2" t="s">
        <v>110</v>
      </c>
      <c r="E31" s="2" t="str">
        <f ca="1">IFERROR(__xludf.DUMMYFUNCTION("GOOGLETRANSLATE(B31,""de"",""en"")"),"I'm afraid there's not much to be proud of (neg).")</f>
        <v>I'm afraid there's not much to be proud of (neg).</v>
      </c>
      <c r="F31" s="2" t="str">
        <f ca="1">IFERROR(__xludf.DUMMYFUNCTION("GOOGLETRANSLATE(D31,""de"",""en"")"),"['does not apply at all', 'completely applies']")</f>
        <v>['does not apply at all', 'completely applies']</v>
      </c>
    </row>
    <row r="32" spans="1:6" x14ac:dyDescent="0.2">
      <c r="A32" s="2" t="s">
        <v>388</v>
      </c>
      <c r="B32" s="2" t="s">
        <v>389</v>
      </c>
      <c r="C32" s="2" t="s">
        <v>109</v>
      </c>
      <c r="D32" s="2" t="s">
        <v>110</v>
      </c>
      <c r="E32" s="2" t="str">
        <f ca="1">IFERROR(__xludf.DUMMYFUNCTION("GOOGLETRANSLATE(B32,""de"",""en"")"),"I wish I could have more respect for myself (neg).")</f>
        <v>I wish I could have more respect for myself (neg).</v>
      </c>
      <c r="F32" s="2" t="str">
        <f ca="1">IFERROR(__xludf.DUMMYFUNCTION("GOOGLETRANSLATE(D32,""de"",""en"")"),"['does not apply at all', 'completely applies']")</f>
        <v>['does not apply at all', 'completely applies']</v>
      </c>
    </row>
    <row r="33" spans="1:6" x14ac:dyDescent="0.2">
      <c r="A33" s="2" t="s">
        <v>390</v>
      </c>
      <c r="B33" s="2" t="s">
        <v>391</v>
      </c>
      <c r="C33" s="2" t="s">
        <v>109</v>
      </c>
      <c r="D33" s="2" t="s">
        <v>110</v>
      </c>
      <c r="E33" s="2" t="str">
        <f ca="1">IFERROR(__xludf.DUMMYFUNCTION("GOOGLETRANSLATE(B33,""de"",""en"")"),"I consider myself to be a valuable person, at least I am no less valuable than anyone else.")</f>
        <v>I consider myself to be a valuable person, at least I am no less valuable than anyone else.</v>
      </c>
      <c r="F33" s="2" t="str">
        <f ca="1">IFERROR(__xludf.DUMMYFUNCTION("GOOGLETRANSLATE(D33,""de"",""en"")"),"['does not apply at all', 'completely applies']")</f>
        <v>['does not apply at all', 'completely applies']</v>
      </c>
    </row>
    <row r="34" spans="1:6" x14ac:dyDescent="0.2">
      <c r="A34" s="2" t="s">
        <v>392</v>
      </c>
      <c r="B34" s="2" t="s">
        <v>393</v>
      </c>
      <c r="C34" s="2" t="s">
        <v>109</v>
      </c>
      <c r="D34" s="2" t="s">
        <v>110</v>
      </c>
      <c r="E34" s="2" t="str">
        <f ca="1">IFERROR(__xludf.DUMMYFUNCTION("GOOGLETRANSLATE(B34,""de"",""en"")"),"I can enforce my rights well.")</f>
        <v>I can enforce my rights well.</v>
      </c>
      <c r="F34" s="2" t="str">
        <f ca="1">IFERROR(__xludf.DUMMYFUNCTION("GOOGLETRANSLATE(D34,""de"",""en"")"),"['does not apply at all', 'completely applies']")</f>
        <v>['does not apply at all', 'completely applies']</v>
      </c>
    </row>
    <row r="35" spans="1:6" x14ac:dyDescent="0.2">
      <c r="A35" s="2" t="s">
        <v>394</v>
      </c>
      <c r="B35" s="2" t="s">
        <v>395</v>
      </c>
      <c r="C35" s="2" t="s">
        <v>109</v>
      </c>
      <c r="D35" s="2" t="s">
        <v>110</v>
      </c>
      <c r="E35" s="2" t="str">
        <f ca="1">IFERROR(__xludf.DUMMYFUNCTION("GOOGLETRANSLATE(B35,""de"",""en"")"),"I generally feel confident.")</f>
        <v>I generally feel confident.</v>
      </c>
      <c r="F35" s="2" t="str">
        <f ca="1">IFERROR(__xludf.DUMMYFUNCTION("GOOGLETRANSLATE(D35,""de"",""en"")"),"['does not apply at all', 'completely applies']")</f>
        <v>['does not apply at all', 'completely applies']</v>
      </c>
    </row>
    <row r="36" spans="1:6" x14ac:dyDescent="0.2">
      <c r="A36" s="2" t="s">
        <v>396</v>
      </c>
      <c r="B36" s="2" t="s">
        <v>397</v>
      </c>
      <c r="C36" s="2" t="s">
        <v>109</v>
      </c>
      <c r="D36" s="2" t="s">
        <v>110</v>
      </c>
      <c r="E36" s="2" t="str">
        <f ca="1">IFERROR(__xludf.DUMMYFUNCTION("GOOGLETRANSLATE(B36,""de"",""en"")"),"I own my strengths and weaknesses.")</f>
        <v>I own my strengths and weaknesses.</v>
      </c>
      <c r="F36" s="2" t="str">
        <f ca="1">IFERROR(__xludf.DUMMYFUNCTION("GOOGLETRANSLATE(D36,""de"",""en"")"),"['does not apply at all', 'completely applies']")</f>
        <v>['does not apply at all', 'completely applies']</v>
      </c>
    </row>
    <row r="37" spans="1:6" x14ac:dyDescent="0.2">
      <c r="A37" s="2" t="s">
        <v>398</v>
      </c>
      <c r="B37" s="2" t="s">
        <v>399</v>
      </c>
      <c r="C37" s="2" t="s">
        <v>109</v>
      </c>
      <c r="D37" s="2" t="s">
        <v>110</v>
      </c>
      <c r="E37" s="2" t="str">
        <f ca="1">IFERROR(__xludf.DUMMYFUNCTION("GOOGLETRANSLATE(B37,""de"",""en"")"),"In general, I would say that I am in control of my life.")</f>
        <v>In general, I would say that I am in control of my life.</v>
      </c>
      <c r="F37" s="2" t="str">
        <f ca="1">IFERROR(__xludf.DUMMYFUNCTION("GOOGLETRANSLATE(D37,""de"",""en"")"),"['does not apply at all', 'completely applies']")</f>
        <v>['does not apply at all', 'completely applies']</v>
      </c>
    </row>
    <row r="38" spans="1:6" x14ac:dyDescent="0.2">
      <c r="A38" s="2" t="s">
        <v>400</v>
      </c>
      <c r="B38" s="2" t="s">
        <v>401</v>
      </c>
      <c r="C38" s="2" t="s">
        <v>109</v>
      </c>
      <c r="D38" s="2" t="s">
        <v>110</v>
      </c>
      <c r="E38" s="2" t="str">
        <f ca="1">IFERROR(__xludf.DUMMYFUNCTION("GOOGLETRANSLATE(B38,""de"",""en"")"),"I look to the future with confidence.")</f>
        <v>I look to the future with confidence.</v>
      </c>
      <c r="F38" s="2" t="str">
        <f ca="1">IFERROR(__xludf.DUMMYFUNCTION("GOOGLETRANSLATE(D38,""de"",""en"")"),"['does not apply at all', 'completely applies']")</f>
        <v>['does not apply at all', 'completely applies']</v>
      </c>
    </row>
    <row r="39" spans="1:6" x14ac:dyDescent="0.2">
      <c r="A39" s="2" t="s">
        <v>402</v>
      </c>
      <c r="B39" s="2" t="s">
        <v>403</v>
      </c>
      <c r="C39" s="2" t="s">
        <v>109</v>
      </c>
      <c r="D39" s="2" t="s">
        <v>110</v>
      </c>
      <c r="E39" s="2" t="str">
        <f ca="1">IFERROR(__xludf.DUMMYFUNCTION("GOOGLETRANSLATE(B39,""de"",""en"")"),"I have a quick comprehension.")</f>
        <v>I have a quick comprehension.</v>
      </c>
      <c r="F39" s="2" t="str">
        <f ca="1">IFERROR(__xludf.DUMMYFUNCTION("GOOGLETRANSLATE(D39,""de"",""en"")"),"['does not apply at all', 'completely applies']")</f>
        <v>['does not apply at all', 'completely applies']</v>
      </c>
    </row>
    <row r="40" spans="1:6" x14ac:dyDescent="0.2">
      <c r="A40" s="2" t="s">
        <v>404</v>
      </c>
      <c r="B40" s="2" t="s">
        <v>405</v>
      </c>
      <c r="C40" s="2" t="s">
        <v>109</v>
      </c>
      <c r="D40" s="2" t="s">
        <v>110</v>
      </c>
      <c r="E40" s="2" t="str">
        <f ca="1">IFERROR(__xludf.DUMMYFUNCTION("GOOGLETRANSLATE(B40,""de"",""en"")"),"The things I do, I do with skill and competence.")</f>
        <v>The things I do, I do with skill and competence.</v>
      </c>
      <c r="F40" s="2" t="str">
        <f ca="1">IFERROR(__xludf.DUMMYFUNCTION("GOOGLETRANSLATE(D40,""de"",""en"")"),"['does not apply at all', 'completely applies']")</f>
        <v>['does not apply at all', 'completely applies']</v>
      </c>
    </row>
    <row r="41" spans="1:6" x14ac:dyDescent="0.2">
      <c r="A41" s="2" t="s">
        <v>406</v>
      </c>
      <c r="B41" s="2" t="s">
        <v>407</v>
      </c>
      <c r="C41" s="2" t="s">
        <v>109</v>
      </c>
      <c r="D41" s="2" t="s">
        <v>110</v>
      </c>
      <c r="E41" s="2" t="str">
        <f ca="1">IFERROR(__xludf.DUMMYFUNCTION("GOOGLETRANSLATE(B41,""de"",""en"")"),"I know the meaning of my life.")</f>
        <v>I know the meaning of my life.</v>
      </c>
      <c r="F41" s="2" t="str">
        <f ca="1">IFERROR(__xludf.DUMMYFUNCTION("GOOGLETRANSLATE(D41,""de"",""en"")"),"['does not apply at all', 'completely applies']")</f>
        <v>['does not apply at all', 'completely applies']</v>
      </c>
    </row>
    <row r="42" spans="1:6" x14ac:dyDescent="0.2">
      <c r="A42" s="2" t="s">
        <v>408</v>
      </c>
      <c r="B42" s="2" t="s">
        <v>409</v>
      </c>
      <c r="C42" s="2" t="s">
        <v>109</v>
      </c>
      <c r="D42" s="2" t="s">
        <v>110</v>
      </c>
      <c r="E42" s="2" t="str">
        <f ca="1">IFERROR(__xludf.DUMMYFUNCTION("GOOGLETRANSLATE(B42,""de"",""en"")"),"My life has a clear meaning.")</f>
        <v>My life has a clear meaning.</v>
      </c>
      <c r="F42" s="2" t="str">
        <f ca="1">IFERROR(__xludf.DUMMYFUNCTION("GOOGLETRANSLATE(D42,""de"",""en"")"),"['does not apply at all', 'completely applies']")</f>
        <v>['does not apply at all', 'completely applies']</v>
      </c>
    </row>
    <row r="43" spans="1:6" x14ac:dyDescent="0.2">
      <c r="A43" s="2" t="s">
        <v>410</v>
      </c>
      <c r="B43" s="2" t="s">
        <v>411</v>
      </c>
      <c r="C43" s="2" t="s">
        <v>109</v>
      </c>
      <c r="D43" s="2" t="s">
        <v>110</v>
      </c>
      <c r="E43" s="2" t="str">
        <f ca="1">IFERROR(__xludf.DUMMYFUNCTION("GOOGLETRANSLATE(B43,""de"",""en"")"),"I am aware of what makes my life meaningful.")</f>
        <v>I am aware of what makes my life meaningful.</v>
      </c>
      <c r="F43" s="2" t="str">
        <f ca="1">IFERROR(__xludf.DUMMYFUNCTION("GOOGLETRANSLATE(D43,""de"",""en"")"),"['does not apply at all', 'completely applies']")</f>
        <v>['does not apply at all', 'completely applies']</v>
      </c>
    </row>
    <row r="44" spans="1:6" x14ac:dyDescent="0.2">
      <c r="A44" s="2" t="s">
        <v>412</v>
      </c>
      <c r="B44" s="2" t="s">
        <v>413</v>
      </c>
      <c r="C44" s="2" t="s">
        <v>109</v>
      </c>
      <c r="D44" s="2" t="s">
        <v>110</v>
      </c>
      <c r="E44" s="2" t="str">
        <f ca="1">IFERROR(__xludf.DUMMYFUNCTION("GOOGLETRANSLATE(B44,""de"",""en"")"),"I have found a fulfilling purpose in life.")</f>
        <v>I have found a fulfilling purpose in life.</v>
      </c>
      <c r="F44" s="2" t="str">
        <f ca="1">IFERROR(__xludf.DUMMYFUNCTION("GOOGLETRANSLATE(D44,""de"",""en"")"),"['does not apply at all', 'completely applies']")</f>
        <v>['does not apply at all', 'completely applies']</v>
      </c>
    </row>
    <row r="45" spans="1:6" x14ac:dyDescent="0.2">
      <c r="A45" s="2" t="s">
        <v>414</v>
      </c>
      <c r="B45" s="2" t="s">
        <v>415</v>
      </c>
      <c r="C45" s="2" t="s">
        <v>109</v>
      </c>
      <c r="D45" s="2" t="s">
        <v>110</v>
      </c>
      <c r="E45" s="2" t="str">
        <f ca="1">IFERROR(__xludf.DUMMYFUNCTION("GOOGLETRANSLATE(B45,""de"",""en"")"),"My life has no apparent meaning. (neg.).")</f>
        <v>My life has no apparent meaning. (neg.).</v>
      </c>
      <c r="F45" s="2" t="str">
        <f ca="1">IFERROR(__xludf.DUMMYFUNCTION("GOOGLETRANSLATE(D45,""de"",""en"")"),"['does not apply at all', 'completely applies']")</f>
        <v>['does not apply at all', 'completely applies']</v>
      </c>
    </row>
    <row r="46" spans="1:6" x14ac:dyDescent="0.2">
      <c r="A46" s="2" t="s">
        <v>416</v>
      </c>
      <c r="B46" s="2" t="s">
        <v>417</v>
      </c>
      <c r="C46" s="2" t="s">
        <v>109</v>
      </c>
      <c r="D46" s="2" t="s">
        <v>110</v>
      </c>
      <c r="E46" s="2" t="str">
        <f ca="1">IFERROR(__xludf.DUMMYFUNCTION("GOOGLETRANSLATE(B46,""de"",""en"")"),"I almost never expect things to go my way (neg).")</f>
        <v>I almost never expect things to go my way (neg).</v>
      </c>
      <c r="F46" s="2" t="str">
        <f ca="1">IFERROR(__xludf.DUMMYFUNCTION("GOOGLETRANSLATE(D46,""de"",""en"")"),"['does not apply at all', 'completely applies']")</f>
        <v>['does not apply at all', 'completely applies']</v>
      </c>
    </row>
    <row r="47" spans="1:6" x14ac:dyDescent="0.2">
      <c r="A47" s="2" t="s">
        <v>418</v>
      </c>
      <c r="B47" s="2" t="s">
        <v>419</v>
      </c>
      <c r="C47" s="2" t="s">
        <v>109</v>
      </c>
      <c r="D47" s="2" t="s">
        <v>110</v>
      </c>
      <c r="E47" s="2" t="str">
        <f ca="1">IFERROR(__xludf.DUMMYFUNCTION("GOOGLETRANSLATE(B47,""de"",""en"")"),"I always look to the future with optimism.")</f>
        <v>I always look to the future with optimism.</v>
      </c>
      <c r="F47" s="2" t="str">
        <f ca="1">IFERROR(__xludf.DUMMYFUNCTION("GOOGLETRANSLATE(D47,""de"",""en"")"),"['does not apply at all', 'completely applies']")</f>
        <v>['does not apply at all', 'completely applies']</v>
      </c>
    </row>
    <row r="48" spans="1:6" x14ac:dyDescent="0.2">
      <c r="A48" s="2" t="s">
        <v>420</v>
      </c>
      <c r="B48" s="2" t="s">
        <v>421</v>
      </c>
      <c r="C48" s="2" t="s">
        <v>109</v>
      </c>
      <c r="D48" s="2" t="s">
        <v>110</v>
      </c>
      <c r="E48" s="2" t="str">
        <f ca="1">IFERROR(__xludf.DUMMYFUNCTION("GOOGLETRANSLATE(B48,""de"",""en"")"),"Things never turn out the way I want them to (neg).")</f>
        <v>Things never turn out the way I want them to (neg).</v>
      </c>
      <c r="F48" s="2" t="str">
        <f ca="1">IFERROR(__xludf.DUMMYFUNCTION("GOOGLETRANSLATE(D48,""de"",""en"")"),"['does not apply at all', 'completely applies']")</f>
        <v>['does not apply at all', 'completely applies']</v>
      </c>
    </row>
    <row r="49" spans="1:6" x14ac:dyDescent="0.2">
      <c r="A49" s="2" t="s">
        <v>422</v>
      </c>
      <c r="B49" s="2" t="s">
        <v>423</v>
      </c>
      <c r="C49" s="2" t="s">
        <v>109</v>
      </c>
      <c r="D49" s="2" t="s">
        <v>110</v>
      </c>
      <c r="E49" s="2" t="str">
        <f ca="1">IFERROR(__xludf.DUMMYFUNCTION("GOOGLETRANSLATE(B49,""de"",""en"")"),"I always see the good side of things.")</f>
        <v>I always see the good side of things.</v>
      </c>
      <c r="F49" s="2" t="str">
        <f ca="1">IFERROR(__xludf.DUMMYFUNCTION("GOOGLETRANSLATE(D49,""de"",""en"")"),"['does not apply at all', 'completely applies']")</f>
        <v>['does not apply at all', 'completely applies']</v>
      </c>
    </row>
    <row r="50" spans="1:6" x14ac:dyDescent="0.2"/>
    <row r="51" spans="1:6" x14ac:dyDescent="0.2"/>
    <row r="52" spans="1:6" x14ac:dyDescent="0.2"/>
    <row r="53" spans="1:6" x14ac:dyDescent="0.2"/>
    <row r="54" spans="1:6" x14ac:dyDescent="0.2"/>
    <row r="55" spans="1:6" x14ac:dyDescent="0.2"/>
    <row r="56" spans="1:6" x14ac:dyDescent="0.2"/>
    <row r="57" spans="1:6" x14ac:dyDescent="0.2"/>
    <row r="58" spans="1:6" x14ac:dyDescent="0.2"/>
    <row r="59" spans="1:6" x14ac:dyDescent="0.2"/>
    <row r="60" spans="1:6" x14ac:dyDescent="0.2"/>
    <row r="61" spans="1:6" x14ac:dyDescent="0.2"/>
    <row r="62" spans="1:6" x14ac:dyDescent="0.2"/>
    <row r="63" spans="1:6" x14ac:dyDescent="0.2"/>
    <row r="64" spans="1:6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424</v>
      </c>
      <c r="B2" s="2" t="s">
        <v>425</v>
      </c>
      <c r="C2" s="2" t="s">
        <v>216</v>
      </c>
      <c r="D2" s="2" t="s">
        <v>426</v>
      </c>
      <c r="E2" s="2" t="str">
        <f ca="1">IFERROR(__xludf.DUMMYFUNCTION("GOOGLETRANSLATE(B2,""de"",""en"")"),"I got busy with work or other things to get my mind off other things.")</f>
        <v>I got busy with work or other things to get my mind off other things.</v>
      </c>
      <c r="F2" s="2" t="str">
        <f ca="1">IFERROR(__xludf.DUMMYFUNCTION("GOOGLETRANSLATE(D2,""de"",""en"")"),"['never', 'always']")</f>
        <v>['never', 'always']</v>
      </c>
    </row>
    <row r="3" spans="1:6" x14ac:dyDescent="0.2">
      <c r="A3" s="2" t="s">
        <v>427</v>
      </c>
      <c r="B3" s="2" t="s">
        <v>428</v>
      </c>
      <c r="C3" s="2" t="s">
        <v>216</v>
      </c>
      <c r="D3" s="2" t="s">
        <v>426</v>
      </c>
      <c r="E3" s="2" t="str">
        <f ca="1">IFERROR(__xludf.DUMMYFUNCTION("GOOGLETRANSLATE(B3,""de"",""en"")"),"I did something to distract myself.")</f>
        <v>I did something to distract myself.</v>
      </c>
      <c r="F3" s="2" t="str">
        <f ca="1">IFERROR(__xludf.DUMMYFUNCTION("GOOGLETRANSLATE(D3,""de"",""en"")"),"['never', 'always']")</f>
        <v>['never', 'always']</v>
      </c>
    </row>
    <row r="4" spans="1:6" x14ac:dyDescent="0.2">
      <c r="A4" s="2" t="s">
        <v>429</v>
      </c>
      <c r="B4" s="2" t="s">
        <v>430</v>
      </c>
      <c r="C4" s="2" t="s">
        <v>216</v>
      </c>
      <c r="D4" s="2" t="s">
        <v>426</v>
      </c>
      <c r="E4" s="2" t="str">
        <f ca="1">IFERROR(__xludf.DUMMYFUNCTION("GOOGLETRANSLATE(B4,""de"",""en"")"),"I concentrated on changing something about my situation.")</f>
        <v>I concentrated on changing something about my situation.</v>
      </c>
      <c r="F4" s="2" t="str">
        <f ca="1">IFERROR(__xludf.DUMMYFUNCTION("GOOGLETRANSLATE(D4,""de"",""en"")"),"['never', 'always']")</f>
        <v>['never', 'always']</v>
      </c>
    </row>
    <row r="5" spans="1:6" x14ac:dyDescent="0.2">
      <c r="A5" s="2" t="s">
        <v>431</v>
      </c>
      <c r="B5" s="2" t="s">
        <v>432</v>
      </c>
      <c r="C5" s="2" t="s">
        <v>216</v>
      </c>
      <c r="D5" s="2" t="s">
        <v>426</v>
      </c>
      <c r="E5" s="2" t="str">
        <f ca="1">IFERROR(__xludf.DUMMYFUNCTION("GOOGLETRANSLATE(B5,""de"",""en"")"),"I took active action to improve the situation.")</f>
        <v>I took active action to improve the situation.</v>
      </c>
      <c r="F5" s="2" t="str">
        <f ca="1">IFERROR(__xludf.DUMMYFUNCTION("GOOGLETRANSLATE(D5,""de"",""en"")"),"['never', 'always']")</f>
        <v>['never', 'always']</v>
      </c>
    </row>
    <row r="6" spans="1:6" x14ac:dyDescent="0.2">
      <c r="A6" s="2" t="s">
        <v>433</v>
      </c>
      <c r="B6" s="2" t="s">
        <v>434</v>
      </c>
      <c r="C6" s="2" t="s">
        <v>216</v>
      </c>
      <c r="D6" s="2" t="s">
        <v>426</v>
      </c>
      <c r="E6" s="2" t="str">
        <f ca="1">IFERROR(__xludf.DUMMYFUNCTION("GOOGLETRANSLATE(B6,""de"",""en"")"),"I've come to terms with the fact that it happened.")</f>
        <v>I've come to terms with the fact that it happened.</v>
      </c>
      <c r="F6" s="2" t="str">
        <f ca="1">IFERROR(__xludf.DUMMYFUNCTION("GOOGLETRANSLATE(D6,""de"",""en"")"),"['never', 'always']")</f>
        <v>['never', 'always']</v>
      </c>
    </row>
    <row r="7" spans="1:6" x14ac:dyDescent="0.2">
      <c r="A7" s="2" t="s">
        <v>435</v>
      </c>
      <c r="B7" s="2" t="s">
        <v>436</v>
      </c>
      <c r="C7" s="2" t="s">
        <v>216</v>
      </c>
      <c r="D7" s="2" t="s">
        <v>426</v>
      </c>
      <c r="E7" s="2" t="str">
        <f ca="1">IFERROR(__xludf.DUMMYFUNCTION("GOOGLETRANSLATE(B7,""de"",""en"")"),"I've learned to live with it.")</f>
        <v>I've learned to live with it.</v>
      </c>
      <c r="F7" s="2" t="str">
        <f ca="1">IFERROR(__xludf.DUMMYFUNCTION("GOOGLETRANSLATE(D7,""de"",""en"")"),"['never', 'always']")</f>
        <v>['never', 'always']</v>
      </c>
    </row>
    <row r="8" spans="1:6" x14ac:dyDescent="0.2">
      <c r="A8" s="2" t="s">
        <v>437</v>
      </c>
      <c r="B8" s="2" t="s">
        <v>438</v>
      </c>
      <c r="C8" s="2" t="s">
        <v>216</v>
      </c>
      <c r="D8" s="2" t="s">
        <v>426</v>
      </c>
      <c r="E8" s="2" t="str">
        <f ca="1">IFERROR(__xludf.DUMMYFUNCTION("GOOGLETRANSLATE(B8,""de"",""en"")"),"I gave vent to my feelings.")</f>
        <v>I gave vent to my feelings.</v>
      </c>
      <c r="F8" s="2" t="str">
        <f ca="1">IFERROR(__xludf.DUMMYFUNCTION("GOOGLETRANSLATE(D8,""de"",""en"")"),"['never', 'always']")</f>
        <v>['never', 'always']</v>
      </c>
    </row>
    <row r="9" spans="1:6" x14ac:dyDescent="0.2">
      <c r="A9" s="2" t="s">
        <v>439</v>
      </c>
      <c r="B9" s="2" t="s">
        <v>440</v>
      </c>
      <c r="C9" s="2" t="s">
        <v>216</v>
      </c>
      <c r="D9" s="2" t="s">
        <v>426</v>
      </c>
      <c r="E9" s="2" t="str">
        <f ca="1">IFERROR(__xludf.DUMMYFUNCTION("GOOGLETRANSLATE(B9,""de"",""en"")"),"I openly expressed how bad I feel.")</f>
        <v>I openly expressed how bad I feel.</v>
      </c>
      <c r="F9" s="2" t="str">
        <f ca="1">IFERROR(__xludf.DUMMYFUNCTION("GOOGLETRANSLATE(D9,""de"",""en"")"),"['never', 'always']")</f>
        <v>['never', 'always']</v>
      </c>
    </row>
    <row r="10" spans="1:6" x14ac:dyDescent="0.2">
      <c r="A10" s="2" t="s">
        <v>441</v>
      </c>
      <c r="B10" s="2" t="s">
        <v>442</v>
      </c>
      <c r="C10" s="2" t="s">
        <v>216</v>
      </c>
      <c r="D10" s="2" t="s">
        <v>426</v>
      </c>
      <c r="E10" s="2" t="str">
        <f ca="1">IFERROR(__xludf.DUMMYFUNCTION("GOOGLETRANSLATE(B10,""de"",""en"")"),"I have received encouraging support from others.")</f>
        <v>I have received encouraging support from others.</v>
      </c>
      <c r="F10" s="2" t="str">
        <f ca="1">IFERROR(__xludf.DUMMYFUNCTION("GOOGLETRANSLATE(D10,""de"",""en"")"),"['never', 'always']")</f>
        <v>['never', 'always']</v>
      </c>
    </row>
    <row r="11" spans="1:6" x14ac:dyDescent="0.2">
      <c r="A11" s="2" t="s">
        <v>443</v>
      </c>
      <c r="B11" s="2" t="s">
        <v>444</v>
      </c>
      <c r="C11" s="2" t="s">
        <v>216</v>
      </c>
      <c r="D11" s="2" t="s">
        <v>426</v>
      </c>
      <c r="E11" s="2" t="str">
        <f ca="1">IFERROR(__xludf.DUMMYFUNCTION("GOOGLETRANSLATE(B11,""de"",""en"")"),"Someone comforted me and showed me understanding.")</f>
        <v>Someone comforted me and showed me understanding.</v>
      </c>
      <c r="F11" s="2" t="str">
        <f ca="1">IFERROR(__xludf.DUMMYFUNCTION("GOOGLETRANSLATE(D11,""de"",""en"")"),"['never', 'always']")</f>
        <v>['never', 'always']</v>
      </c>
    </row>
    <row r="12" spans="1:6" x14ac:dyDescent="0.2">
      <c r="A12" s="2" t="s">
        <v>445</v>
      </c>
      <c r="B12" s="2" t="s">
        <v>446</v>
      </c>
      <c r="C12" s="2" t="s">
        <v>216</v>
      </c>
      <c r="D12" s="2" t="s">
        <v>426</v>
      </c>
      <c r="E12" s="2" t="str">
        <f ca="1">IFERROR(__xludf.DUMMYFUNCTION("GOOGLETRANSLATE(B12,""de"",""en"")"),"I joked about it.")</f>
        <v>I joked about it.</v>
      </c>
      <c r="F12" s="2" t="str">
        <f ca="1">IFERROR(__xludf.DUMMYFUNCTION("GOOGLETRANSLATE(D12,""de"",""en"")"),"['never', 'always']")</f>
        <v>['never', 'always']</v>
      </c>
    </row>
    <row r="13" spans="1:6" x14ac:dyDescent="0.2">
      <c r="A13" s="2" t="s">
        <v>447</v>
      </c>
      <c r="B13" s="2" t="s">
        <v>448</v>
      </c>
      <c r="C13" s="2" t="s">
        <v>216</v>
      </c>
      <c r="D13" s="2" t="s">
        <v>426</v>
      </c>
      <c r="E13" s="2" t="str">
        <f ca="1">IFERROR(__xludf.DUMMYFUNCTION("GOOGLETRANSLATE(B13,""de"",""en"")"),"I took everything with humor.")</f>
        <v>I took everything with humor.</v>
      </c>
      <c r="F13" s="2" t="str">
        <f ca="1">IFERROR(__xludf.DUMMYFUNCTION("GOOGLETRANSLATE(D13,""de"",""en"")"),"['never', 'always']")</f>
        <v>['never', 'always']</v>
      </c>
    </row>
    <row r="14" spans="1:6" x14ac:dyDescent="0.2">
      <c r="A14" s="2" t="s">
        <v>449</v>
      </c>
      <c r="B14" s="2" t="s">
        <v>450</v>
      </c>
      <c r="C14" s="2" t="s">
        <v>216</v>
      </c>
      <c r="D14" s="2" t="s">
        <v>426</v>
      </c>
      <c r="E14" s="2" t="str">
        <f ca="1">IFERROR(__xludf.DUMMYFUNCTION("GOOGLETRANSLATE(B14,""de"",""en"")"),"I asked other people for help and advice.")</f>
        <v>I asked other people for help and advice.</v>
      </c>
      <c r="F14" s="2" t="str">
        <f ca="1">IFERROR(__xludf.DUMMYFUNCTION("GOOGLETRANSLATE(D14,""de"",""en"")"),"['never', 'always']")</f>
        <v>['never', 'always']</v>
      </c>
    </row>
    <row r="15" spans="1:6" x14ac:dyDescent="0.2">
      <c r="A15" s="2" t="s">
        <v>451</v>
      </c>
      <c r="B15" s="2" t="s">
        <v>452</v>
      </c>
      <c r="C15" s="2" t="s">
        <v>216</v>
      </c>
      <c r="D15" s="2" t="s">
        <v>426</v>
      </c>
      <c r="E15" s="2" t="str">
        <f ca="1">IFERROR(__xludf.DUMMYFUNCTION("GOOGLETRANSLATE(B15,""de"",""en"")"),"I tried to get advice or help from other people.")</f>
        <v>I tried to get advice or help from other people.</v>
      </c>
      <c r="F15" s="2" t="str">
        <f ca="1">IFERROR(__xludf.DUMMYFUNCTION("GOOGLETRANSLATE(D15,""de"",""en"")"),"['never', 'always']")</f>
        <v>['never', 'always']</v>
      </c>
    </row>
    <row r="16" spans="1:6" x14ac:dyDescent="0.2">
      <c r="A16" s="2" t="s">
        <v>453</v>
      </c>
      <c r="B16" s="2" t="s">
        <v>454</v>
      </c>
      <c r="C16" s="2" t="s">
        <v>216</v>
      </c>
      <c r="D16" s="2" t="s">
        <v>426</v>
      </c>
      <c r="E16" s="2" t="str">
        <f ca="1">IFERROR(__xludf.DUMMYFUNCTION("GOOGLETRANSLATE(B16,""de"",""en"")"),"I've been trying to think of a plan of what I can do.")</f>
        <v>I've been trying to think of a plan of what I can do.</v>
      </c>
      <c r="F16" s="2" t="str">
        <f ca="1">IFERROR(__xludf.DUMMYFUNCTION("GOOGLETRANSLATE(D16,""de"",""en"")"),"['never', 'always']")</f>
        <v>['never', 'always']</v>
      </c>
    </row>
    <row r="17" spans="1:6" x14ac:dyDescent="0.2">
      <c r="A17" s="2" t="s">
        <v>455</v>
      </c>
      <c r="B17" s="2" t="s">
        <v>456</v>
      </c>
      <c r="C17" s="2" t="s">
        <v>216</v>
      </c>
      <c r="D17" s="2" t="s">
        <v>426</v>
      </c>
      <c r="E17" s="2" t="str">
        <f ca="1">IFERROR(__xludf.DUMMYFUNCTION("GOOGLETRANSLATE(B17,""de"",""en"")"),"I've thought a lot about what would be right here.")</f>
        <v>I've thought a lot about what would be right here.</v>
      </c>
      <c r="F17" s="2" t="str">
        <f ca="1">IFERROR(__xludf.DUMMYFUNCTION("GOOGLETRANSLATE(D17,""de"",""en"")"),"['never', 'always']")</f>
        <v>['never', 'always']</v>
      </c>
    </row>
    <row r="18" spans="1:6" x14ac:dyDescent="0.2">
      <c r="A18" s="2" t="s">
        <v>457</v>
      </c>
      <c r="B18" s="2" t="s">
        <v>458</v>
      </c>
      <c r="C18" s="2" t="s">
        <v>216</v>
      </c>
      <c r="D18" s="2" t="s">
        <v>426</v>
      </c>
      <c r="E18" s="2" t="str">
        <f ca="1">IFERROR(__xludf.DUMMYFUNCTION("GOOGLETRANSLATE(B18,""de"",""en"")"),"I tried to look at things from a more positive side.")</f>
        <v>I tried to look at things from a more positive side.</v>
      </c>
      <c r="F18" s="2" t="str">
        <f ca="1">IFERROR(__xludf.DUMMYFUNCTION("GOOGLETRANSLATE(D18,""de"",""en"")"),"['never', 'always']")</f>
        <v>['never', 'always']</v>
      </c>
    </row>
    <row r="19" spans="1:6" x14ac:dyDescent="0.2">
      <c r="A19" s="2" t="s">
        <v>459</v>
      </c>
      <c r="B19" s="2" t="s">
        <v>460</v>
      </c>
      <c r="C19" s="2" t="s">
        <v>216</v>
      </c>
      <c r="D19" s="2" t="s">
        <v>426</v>
      </c>
      <c r="E19" s="2" t="str">
        <f ca="1">IFERROR(__xludf.DUMMYFUNCTION("GOOGLETRANSLATE(B19,""de"",""en"")"),"I tried to find something good in what happened to me.")</f>
        <v>I tried to find something good in what happened to me.</v>
      </c>
      <c r="F19" s="2" t="str">
        <f ca="1">IFERROR(__xludf.DUMMYFUNCTION("GOOGLETRANSLATE(D19,""de"",""en"")"),"['never', 'always']")</f>
        <v>['never', 'always']</v>
      </c>
    </row>
    <row r="20" spans="1:6" x14ac:dyDescent="0.2">
      <c r="A20" s="2" t="s">
        <v>461</v>
      </c>
      <c r="B20" s="2" t="s">
        <v>462</v>
      </c>
      <c r="C20" s="2" t="s">
        <v>216</v>
      </c>
      <c r="D20" s="2" t="s">
        <v>426</v>
      </c>
      <c r="E20" s="2" t="str">
        <f ca="1">IFERROR(__xludf.DUMMYFUNCTION("GOOGLETRANSLATE(B20,""de"",""en"")"),"I tried to find support in my faith.")</f>
        <v>I tried to find support in my faith.</v>
      </c>
      <c r="F20" s="2" t="str">
        <f ca="1">IFERROR(__xludf.DUMMYFUNCTION("GOOGLETRANSLATE(D20,""de"",""en"")"),"['never', 'always']")</f>
        <v>['never', 'always']</v>
      </c>
    </row>
    <row r="21" spans="1:6" x14ac:dyDescent="0.2">
      <c r="A21" s="2" t="s">
        <v>463</v>
      </c>
      <c r="B21" s="2" t="s">
        <v>464</v>
      </c>
      <c r="C21" s="2" t="s">
        <v>216</v>
      </c>
      <c r="D21" s="2" t="s">
        <v>426</v>
      </c>
      <c r="E21" s="2" t="str">
        <f ca="1">IFERROR(__xludf.DUMMYFUNCTION("GOOGLETRANSLATE(B21,""de"",""en"")"),"I prayed or meditated.")</f>
        <v>I prayed or meditated.</v>
      </c>
      <c r="F21" s="2" t="str">
        <f ca="1">IFERROR(__xludf.DUMMYFUNCTION("GOOGLETRANSLATE(D21,""de"",""en"")"),"['never', 'always']")</f>
        <v>['never', 'always']</v>
      </c>
    </row>
    <row r="22" spans="1:6" x14ac:dyDescent="0.2">
      <c r="A22" s="2" t="s">
        <v>465</v>
      </c>
      <c r="B22" s="2" t="s">
        <v>466</v>
      </c>
      <c r="C22" s="2" t="s">
        <v>216</v>
      </c>
      <c r="D22" s="2" t="s">
        <v>426</v>
      </c>
      <c r="E22" s="2" t="str">
        <f ca="1">IFERROR(__xludf.DUMMYFUNCTION("GOOGLETRANSLATE(B22,""de"",""en"")"),"I did sports to 'wind down'.")</f>
        <v>I did sports to 'wind down'.</v>
      </c>
      <c r="F22" s="2" t="str">
        <f ca="1">IFERROR(__xludf.DUMMYFUNCTION("GOOGLETRANSLATE(D22,""de"",""en"")"),"['never', 'always']")</f>
        <v>['never', 'always']</v>
      </c>
    </row>
    <row r="23" spans="1:6" x14ac:dyDescent="0.2">
      <c r="A23" s="2" t="s">
        <v>467</v>
      </c>
      <c r="B23" s="2" t="s">
        <v>468</v>
      </c>
      <c r="C23" s="2" t="s">
        <v>216</v>
      </c>
      <c r="D23" s="2" t="s">
        <v>426</v>
      </c>
      <c r="E23" s="2" t="str">
        <f ca="1">IFERROR(__xludf.DUMMYFUNCTION("GOOGLETRANSLATE(B23,""de"",""en"")"),"I tried to balance myself through sport.")</f>
        <v>I tried to balance myself through sport.</v>
      </c>
      <c r="F23" s="2" t="str">
        <f ca="1">IFERROR(__xludf.DUMMYFUNCTION("GOOGLETRANSLATE(D23,""de"",""en"")"),"['never', 'always']")</f>
        <v>['never', 'always']</v>
      </c>
    </row>
    <row r="24" spans="1:6" x14ac:dyDescent="0.2">
      <c r="A24" s="2" t="s">
        <v>469</v>
      </c>
      <c r="B24" s="2" t="s">
        <v>470</v>
      </c>
      <c r="C24" s="2" t="s">
        <v>216</v>
      </c>
      <c r="D24" s="2" t="s">
        <v>426</v>
      </c>
      <c r="E24" s="2" t="str">
        <f ca="1">IFERROR(__xludf.DUMMYFUNCTION("GOOGLETRANSLATE(B24,""de"",""en"")"),"I actively practiced relaxation to calm myself down.")</f>
        <v>I actively practiced relaxation to calm myself down.</v>
      </c>
      <c r="F24" s="2" t="str">
        <f ca="1">IFERROR(__xludf.DUMMYFUNCTION("GOOGLETRANSLATE(D24,""de"",""en"")"),"['never', 'always']")</f>
        <v>['never', 'always']</v>
      </c>
    </row>
    <row r="25" spans="1:6" x14ac:dyDescent="0.2">
      <c r="A25" s="2" t="s">
        <v>471</v>
      </c>
      <c r="B25" s="2" t="s">
        <v>472</v>
      </c>
      <c r="C25" s="2" t="s">
        <v>216</v>
      </c>
      <c r="D25" s="2" t="s">
        <v>426</v>
      </c>
      <c r="E25" s="2" t="str">
        <f ca="1">IFERROR(__xludf.DUMMYFUNCTION("GOOGLETRANSLATE(B25,""de"",""en"")"),"I consciously planned relaxation sessions into my everyday life.")</f>
        <v>I consciously planned relaxation sessions into my everyday life.</v>
      </c>
      <c r="F25" s="2" t="str">
        <f ca="1">IFERROR(__xludf.DUMMYFUNCTION("GOOGLETRANSLATE(D25,""de"",""en"")"),"['never', 'always']")</f>
        <v>['never', 'always']</v>
      </c>
    </row>
    <row r="26" spans="1:6" x14ac:dyDescent="0.2">
      <c r="A26" s="2" t="s">
        <v>473</v>
      </c>
      <c r="B26" s="2" t="s">
        <v>474</v>
      </c>
      <c r="C26" s="2" t="s">
        <v>216</v>
      </c>
      <c r="D26" s="2" t="s">
        <v>426</v>
      </c>
      <c r="E26" s="2" t="str">
        <f ca="1">IFERROR(__xludf.DUMMYFUNCTION("GOOGLETRANSLATE(B26,""de"",""en"")"),"I consciously did something good for myself.")</f>
        <v>I consciously did something good for myself.</v>
      </c>
      <c r="F26" s="2" t="str">
        <f ca="1">IFERROR(__xludf.DUMMYFUNCTION("GOOGLETRANSLATE(D26,""de"",""en"")"),"['never', 'always']")</f>
        <v>['never', 'always']</v>
      </c>
    </row>
    <row r="27" spans="1:6" x14ac:dyDescent="0.2">
      <c r="A27" s="2" t="s">
        <v>475</v>
      </c>
      <c r="B27" s="2" t="s">
        <v>476</v>
      </c>
      <c r="C27" s="2" t="s">
        <v>216</v>
      </c>
      <c r="D27" s="2" t="s">
        <v>426</v>
      </c>
      <c r="E27" s="2" t="str">
        <f ca="1">IFERROR(__xludf.DUMMYFUNCTION("GOOGLETRANSLATE(B27,""de"",""en"")"),"I behaved lovingly towards myself/I was very loving towards myself.")</f>
        <v>I behaved lovingly towards myself/I was very loving towards myself.</v>
      </c>
      <c r="F27" s="2" t="str">
        <f ca="1">IFERROR(__xludf.DUMMYFUNCTION("GOOGLETRANSLATE(D27,""de"",""en"")"),"['never', 'always']")</f>
        <v>['never', 'always']</v>
      </c>
    </row>
    <row r="28" spans="1:6" x14ac:dyDescent="0.2">
      <c r="A28" s="2" t="s">
        <v>477</v>
      </c>
      <c r="B28" s="2" t="s">
        <v>478</v>
      </c>
      <c r="C28" s="2" t="s">
        <v>216</v>
      </c>
      <c r="D28" s="2" t="s">
        <v>426</v>
      </c>
      <c r="E28" s="2" t="str">
        <f ca="1">IFERROR(__xludf.DUMMYFUNCTION("GOOGLETRANSLATE(B28,""de"",""en"")"),"I tried harder than usual to solve the problem.")</f>
        <v>I tried harder than usual to solve the problem.</v>
      </c>
      <c r="F28" s="2" t="str">
        <f ca="1">IFERROR(__xludf.DUMMYFUNCTION("GOOGLETRANSLATE(D28,""de"",""en"")"),"['never', 'always']")</f>
        <v>['never', 'always']</v>
      </c>
    </row>
    <row r="29" spans="1:6" x14ac:dyDescent="0.2">
      <c r="A29" s="2" t="s">
        <v>479</v>
      </c>
      <c r="B29" s="2" t="s">
        <v>480</v>
      </c>
      <c r="C29" s="2" t="s">
        <v>216</v>
      </c>
      <c r="D29" s="2" t="s">
        <v>426</v>
      </c>
      <c r="E29" s="2" t="str">
        <f ca="1">IFERROR(__xludf.DUMMYFUNCTION("GOOGLETRANSLATE(B29,""de"",""en"")"),"I did everything I could to deal with the stress.")</f>
        <v>I did everything I could to deal with the stress.</v>
      </c>
      <c r="F29" s="2" t="str">
        <f ca="1">IFERROR(__xludf.DUMMYFUNCTION("GOOGLETRANSLATE(D29,""de"",""en"")"),"['never', 'always']")</f>
        <v>['never', 'always']</v>
      </c>
    </row>
    <row r="30" spans="1:6" x14ac:dyDescent="0.2">
      <c r="A30" s="2" t="s">
        <v>481</v>
      </c>
      <c r="B30" s="2" t="s">
        <v>482</v>
      </c>
      <c r="C30" s="2" t="s">
        <v>216</v>
      </c>
      <c r="D30" s="2" t="s">
        <v>426</v>
      </c>
      <c r="E30" s="2" t="str">
        <f ca="1">IFERROR(__xludf.DUMMYFUNCTION("GOOGLETRANSLATE(B30,""de"",""en"")"),"I criticized myself and blamed myself.")</f>
        <v>I criticized myself and blamed myself.</v>
      </c>
      <c r="F30" s="2" t="str">
        <f ca="1">IFERROR(__xludf.DUMMYFUNCTION("GOOGLETRANSLATE(D30,""de"",""en"")"),"['never', 'always']")</f>
        <v>['never', 'always']</v>
      </c>
    </row>
    <row r="31" spans="1:6" x14ac:dyDescent="0.2">
      <c r="A31" s="2" t="s">
        <v>483</v>
      </c>
      <c r="B31" s="2" t="s">
        <v>484</v>
      </c>
      <c r="C31" s="2" t="s">
        <v>216</v>
      </c>
      <c r="D31" s="2" t="s">
        <v>426</v>
      </c>
      <c r="E31" s="2" t="str">
        <f ca="1">IFERROR(__xludf.DUMMYFUNCTION("GOOGLETRANSLATE(B31,""de"",""en"")"),"I blamed myself for the things that happened to me.")</f>
        <v>I blamed myself for the things that happened to me.</v>
      </c>
      <c r="F31" s="2" t="str">
        <f ca="1">IFERROR(__xludf.DUMMYFUNCTION("GOOGLETRANSLATE(D31,""de"",""en"")"),"['never', 'always']")</f>
        <v>['never', 'always']</v>
      </c>
    </row>
    <row r="32" spans="1:6" x14ac:dyDescent="0.2">
      <c r="A32" s="2" t="s">
        <v>485</v>
      </c>
      <c r="B32" s="2" t="s">
        <v>486</v>
      </c>
      <c r="C32" s="2" t="s">
        <v>216</v>
      </c>
      <c r="D32" s="2" t="s">
        <v>426</v>
      </c>
      <c r="E32" s="2" t="str">
        <f ca="1">IFERROR(__xludf.DUMMYFUNCTION("GOOGLETRANSLATE(B32,""de"",""en"")"),"I've given up trying to deal with it.")</f>
        <v>I've given up trying to deal with it.</v>
      </c>
      <c r="F32" s="2" t="str">
        <f ca="1">IFERROR(__xludf.DUMMYFUNCTION("GOOGLETRANSLATE(D32,""de"",""en"")"),"['never', 'always']")</f>
        <v>['never', 'always']</v>
      </c>
    </row>
    <row r="33" spans="1:6" x14ac:dyDescent="0.2">
      <c r="A33" s="2" t="s">
        <v>487</v>
      </c>
      <c r="B33" s="2" t="s">
        <v>488</v>
      </c>
      <c r="C33" s="2" t="s">
        <v>216</v>
      </c>
      <c r="D33" s="2" t="s">
        <v>426</v>
      </c>
      <c r="E33" s="2" t="str">
        <f ca="1">IFERROR(__xludf.DUMMYFUNCTION("GOOGLETRANSLATE(B33,""de"",""en"")"),"I didn't even try to get the situation under control anymore.")</f>
        <v>I didn't even try to get the situation under control anymore.</v>
      </c>
      <c r="F33" s="2" t="str">
        <f ca="1">IFERROR(__xludf.DUMMYFUNCTION("GOOGLETRANSLATE(D33,""de"",""en"")"),"['never', 'always']")</f>
        <v>['never', 'always']</v>
      </c>
    </row>
    <row r="34" spans="1:6" x14ac:dyDescent="0.2">
      <c r="A34" s="2" t="s">
        <v>489</v>
      </c>
      <c r="B34" s="2" t="s">
        <v>490</v>
      </c>
      <c r="C34" s="2" t="s">
        <v>216</v>
      </c>
      <c r="D34" s="2" t="s">
        <v>426</v>
      </c>
      <c r="E34" s="2" t="str">
        <f ca="1">IFERROR(__xludf.DUMMYFUNCTION("GOOGLETRANSLATE(B34,""de"",""en"")"),"I convinced myself that none of this was true.")</f>
        <v>I convinced myself that none of this was true.</v>
      </c>
      <c r="F34" s="2" t="str">
        <f ca="1">IFERROR(__xludf.DUMMYFUNCTION("GOOGLETRANSLATE(D34,""de"",""en"")"),"['never', 'always']")</f>
        <v>['never', 'always']</v>
      </c>
    </row>
    <row r="35" spans="1:6" x14ac:dyDescent="0.2">
      <c r="A35" s="2" t="s">
        <v>491</v>
      </c>
      <c r="B35" s="2" t="s">
        <v>492</v>
      </c>
      <c r="C35" s="2" t="s">
        <v>216</v>
      </c>
      <c r="D35" s="2" t="s">
        <v>426</v>
      </c>
      <c r="E35" s="2" t="str">
        <f ca="1">IFERROR(__xludf.DUMMYFUNCTION("GOOGLETRANSLATE(B35,""de"",""en"")"),"I just didn't want to believe that this was happening to me.")</f>
        <v>I just didn't want to believe that this was happening to me.</v>
      </c>
      <c r="F35" s="2" t="str">
        <f ca="1">IFERROR(__xludf.DUMMYFUNCTION("GOOGLETRANSLATE(D35,""de"",""en"")"),"['never', 'always']")</f>
        <v>['never', 'always']</v>
      </c>
    </row>
    <row r="36" spans="1:6" x14ac:dyDescent="0.2">
      <c r="A36" s="2" t="s">
        <v>493</v>
      </c>
      <c r="B36" s="2" t="s">
        <v>494</v>
      </c>
      <c r="C36" s="2" t="s">
        <v>216</v>
      </c>
      <c r="D36" s="2" t="s">
        <v>426</v>
      </c>
      <c r="E36" s="2" t="str">
        <f ca="1">IFERROR(__xludf.DUMMYFUNCTION("GOOGLETRANSLATE(B36,""de"",""en"")"),"I withdrew into myself.")</f>
        <v>I withdrew into myself.</v>
      </c>
      <c r="F36" s="2" t="str">
        <f ca="1">IFERROR(__xludf.DUMMYFUNCTION("GOOGLETRANSLATE(D36,""de"",""en"")"),"['never', 'always']")</f>
        <v>['never', 'always']</v>
      </c>
    </row>
    <row r="37" spans="1:6" x14ac:dyDescent="0.2">
      <c r="A37" s="2" t="s">
        <v>495</v>
      </c>
      <c r="B37" s="2" t="s">
        <v>496</v>
      </c>
      <c r="C37" s="2" t="s">
        <v>216</v>
      </c>
      <c r="D37" s="2" t="s">
        <v>426</v>
      </c>
      <c r="E37" s="2" t="str">
        <f ca="1">IFERROR(__xludf.DUMMYFUNCTION("GOOGLETRANSLATE(B37,""de"",""en"")"),"I didn't let anyone get close to me anymore.")</f>
        <v>I didn't let anyone get close to me anymore.</v>
      </c>
      <c r="F37" s="2" t="str">
        <f ca="1">IFERROR(__xludf.DUMMYFUNCTION("GOOGLETRANSLATE(D37,""de"",""en"")"),"['never', 'always']")</f>
        <v>['never', 'always']</v>
      </c>
    </row>
    <row r="38" spans="1:6" x14ac:dyDescent="0.2">
      <c r="A38" s="2" t="s">
        <v>497</v>
      </c>
      <c r="B38" s="2" t="s">
        <v>498</v>
      </c>
      <c r="C38" s="2" t="s">
        <v>216</v>
      </c>
      <c r="D38" s="2" t="s">
        <v>426</v>
      </c>
      <c r="E38" s="2" t="str">
        <f ca="1">IFERROR(__xludf.DUMMYFUNCTION("GOOGLETRANSLATE(B38,""de"",""en"")"),"I used alcohol or other substances to feel better.")</f>
        <v>I used alcohol or other substances to feel better.</v>
      </c>
      <c r="F38" s="2" t="str">
        <f ca="1">IFERROR(__xludf.DUMMYFUNCTION("GOOGLETRANSLATE(D38,""de"",""en"")"),"['never', 'always']")</f>
        <v>['never', 'always']</v>
      </c>
    </row>
    <row r="39" spans="1:6" x14ac:dyDescent="0.2">
      <c r="A39" s="2" t="s">
        <v>499</v>
      </c>
      <c r="B39" s="2" t="s">
        <v>500</v>
      </c>
      <c r="C39" s="2" t="s">
        <v>216</v>
      </c>
      <c r="D39" s="2" t="s">
        <v>426</v>
      </c>
      <c r="E39" s="2" t="str">
        <f ca="1">IFERROR(__xludf.DUMMYFUNCTION("GOOGLETRANSLATE(B39,""de"",""en"")"),"To get through this, I calmed myself down with alcohol or other means.")</f>
        <v>To get through this, I calmed myself down with alcohol or other means.</v>
      </c>
      <c r="F39" s="2" t="str">
        <f ca="1">IFERROR(__xludf.DUMMYFUNCTION("GOOGLETRANSLATE(D39,""de"",""en"")"),"['never', 'always']")</f>
        <v>['never', 'always']</v>
      </c>
    </row>
    <row r="40" spans="1:6" x14ac:dyDescent="0.2"/>
    <row r="41" spans="1:6" x14ac:dyDescent="0.2"/>
    <row r="42" spans="1:6" x14ac:dyDescent="0.2"/>
    <row r="43" spans="1:6" x14ac:dyDescent="0.2"/>
    <row r="44" spans="1:6" x14ac:dyDescent="0.2"/>
    <row r="45" spans="1:6" x14ac:dyDescent="0.2"/>
    <row r="46" spans="1:6" x14ac:dyDescent="0.2"/>
    <row r="47" spans="1:6" x14ac:dyDescent="0.2"/>
    <row r="48" spans="1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baseColWidth="10" defaultColWidth="14.3984375" defaultRowHeight="15.75" customHeight="1" x14ac:dyDescent="0.2"/>
  <cols>
    <col min="1" max="4" width="8.796875" customWidth="1"/>
    <col min="5" max="5" width="41.19921875" customWidth="1"/>
    <col min="6" max="26" width="8.7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501</v>
      </c>
      <c r="B2" s="2" t="s">
        <v>502</v>
      </c>
      <c r="C2" s="2" t="s">
        <v>109</v>
      </c>
      <c r="D2" s="2" t="s">
        <v>119</v>
      </c>
      <c r="E2" s="2" t="str">
        <f ca="1">IFERROR(__xludf.DUMMYFUNCTION("GOOGLETRANSLATE(B2,""de"",""en"")"),"For the last two weeks I've been suffering from... nervousness")</f>
        <v>For the last two weeks I've been suffering from... nervousness</v>
      </c>
      <c r="F2" s="2" t="str">
        <f ca="1">IFERROR(__xludf.DUMMYFUNCTION("GOOGLETRANSLATE(D2,""de"",""en"")"),"['never', 'often']")</f>
        <v>['never', 'often']</v>
      </c>
    </row>
    <row r="3" spans="1:6" x14ac:dyDescent="0.2">
      <c r="A3" s="2" t="s">
        <v>503</v>
      </c>
      <c r="B3" s="2" t="s">
        <v>504</v>
      </c>
      <c r="C3" s="2" t="s">
        <v>109</v>
      </c>
      <c r="D3" s="2" t="s">
        <v>119</v>
      </c>
      <c r="E3" s="2" t="str">
        <f ca="1">IFERROR(__xludf.DUMMYFUNCTION("GOOGLETRANSLATE(B3,""de"",""en"")"),"For the last two weeks I've been suffering from...stomach problems")</f>
        <v>For the last two weeks I've been suffering from...stomach problems</v>
      </c>
      <c r="F3" s="2" t="str">
        <f ca="1">IFERROR(__xludf.DUMMYFUNCTION("GOOGLETRANSLATE(D3,""de"",""en"")"),"['never', 'often']")</f>
        <v>['never', 'often']</v>
      </c>
    </row>
    <row r="4" spans="1:6" x14ac:dyDescent="0.2">
      <c r="A4" s="2" t="s">
        <v>505</v>
      </c>
      <c r="B4" s="2" t="s">
        <v>506</v>
      </c>
      <c r="C4" s="2" t="s">
        <v>109</v>
      </c>
      <c r="D4" s="2" t="s">
        <v>119</v>
      </c>
      <c r="E4" s="2" t="str">
        <f ca="1">IFERROR(__xludf.DUMMYFUNCTION("GOOGLETRANSLATE(B4,""de"",""en"")"),"For the last two weeks I've been suffering from... insomnia")</f>
        <v>For the last two weeks I've been suffering from... insomnia</v>
      </c>
      <c r="F4" s="2" t="str">
        <f ca="1">IFERROR(__xludf.DUMMYFUNCTION("GOOGLETRANSLATE(D4,""de"",""en"")"),"['never', 'often']")</f>
        <v>['never', 'often']</v>
      </c>
    </row>
    <row r="5" spans="1:6" x14ac:dyDescent="0.2">
      <c r="A5" s="2" t="s">
        <v>507</v>
      </c>
      <c r="B5" s="2" t="s">
        <v>508</v>
      </c>
      <c r="C5" s="2" t="s">
        <v>109</v>
      </c>
      <c r="D5" s="2" t="s">
        <v>119</v>
      </c>
      <c r="E5" s="2" t="str">
        <f ca="1">IFERROR(__xludf.DUMMYFUNCTION("GOOGLETRANSLATE(B5,""de"",""en"")"),"For the last two weeks I've been suffering from... heart problems")</f>
        <v>For the last two weeks I've been suffering from... heart problems</v>
      </c>
      <c r="F5" s="2" t="str">
        <f ca="1">IFERROR(__xludf.DUMMYFUNCTION("GOOGLETRANSLATE(D5,""de"",""en"")"),"['never', 'often']")</f>
        <v>['never', 'often']</v>
      </c>
    </row>
    <row r="6" spans="1:6" x14ac:dyDescent="0.2">
      <c r="A6" s="2" t="s">
        <v>509</v>
      </c>
      <c r="B6" s="2" t="s">
        <v>510</v>
      </c>
      <c r="C6" s="2" t="s">
        <v>109</v>
      </c>
      <c r="D6" s="2" t="s">
        <v>119</v>
      </c>
      <c r="E6" s="2" t="str">
        <f ca="1">IFERROR(__xludf.DUMMYFUNCTION("GOOGLETRANSLATE(B6,""de"",""en"")"),"For the last two weeks I've been suffering from... stomach pain")</f>
        <v>For the last two weeks I've been suffering from... stomach pain</v>
      </c>
      <c r="F6" s="2" t="str">
        <f ca="1">IFERROR(__xludf.DUMMYFUNCTION("GOOGLETRANSLATE(D6,""de"",""en"")"),"['never', 'often']")</f>
        <v>['never', 'often']</v>
      </c>
    </row>
    <row r="7" spans="1:6" x14ac:dyDescent="0.2">
      <c r="A7" s="2" t="s">
        <v>511</v>
      </c>
      <c r="B7" s="2" t="s">
        <v>512</v>
      </c>
      <c r="C7" s="2" t="s">
        <v>109</v>
      </c>
      <c r="D7" s="2" t="s">
        <v>119</v>
      </c>
      <c r="E7" s="2" t="str">
        <f ca="1">IFERROR(__xludf.DUMMYFUNCTION("GOOGLETRANSLATE(B7,""de"",""en"")"),"For the last two weeks I've been suffering from... back pain")</f>
        <v>For the last two weeks I've been suffering from... back pain</v>
      </c>
      <c r="F7" s="2" t="str">
        <f ca="1">IFERROR(__xludf.DUMMYFUNCTION("GOOGLETRANSLATE(D7,""de"",""en"")"),"['never', 'often']")</f>
        <v>['never', 'often']</v>
      </c>
    </row>
    <row r="8" spans="1:6" x14ac:dyDescent="0.2">
      <c r="A8" s="2" t="s">
        <v>513</v>
      </c>
      <c r="B8" s="2" t="s">
        <v>514</v>
      </c>
      <c r="C8" s="2" t="s">
        <v>109</v>
      </c>
      <c r="D8" s="2" t="s">
        <v>119</v>
      </c>
      <c r="E8" s="2" t="str">
        <f ca="1">IFERROR(__xludf.DUMMYFUNCTION("GOOGLETRANSLATE(B8,""de"",""en"")"),"For the last two weeks I've been suffering from... headaches")</f>
        <v>For the last two weeks I've been suffering from... headaches</v>
      </c>
      <c r="F8" s="2" t="str">
        <f ca="1">IFERROR(__xludf.DUMMYFUNCTION("GOOGLETRANSLATE(D8,""de"",""en"")"),"['never', 'often']")</f>
        <v>['never', 'often']</v>
      </c>
    </row>
    <row r="9" spans="1:6" x14ac:dyDescent="0.2">
      <c r="A9" s="2" t="s">
        <v>515</v>
      </c>
      <c r="B9" s="2" t="s">
        <v>516</v>
      </c>
      <c r="C9" s="2" t="s">
        <v>109</v>
      </c>
      <c r="D9" s="2" t="s">
        <v>119</v>
      </c>
      <c r="E9" s="2" t="str">
        <f ca="1">IFERROR(__xludf.DUMMYFUNCTION("GOOGLETRANSLATE(B9,""de"",""en"")"),"For the last two weeks... I've been happy and in a good mood.")</f>
        <v>For the last two weeks... I've been happy and in a good mood.</v>
      </c>
      <c r="F9" s="2" t="str">
        <f ca="1">IFERROR(__xludf.DUMMYFUNCTION("GOOGLETRANSLATE(D9,""de"",""en"")"),"['never', 'often']")</f>
        <v>['never', 'often']</v>
      </c>
    </row>
    <row r="10" spans="1:6" x14ac:dyDescent="0.2">
      <c r="A10" s="2" t="s">
        <v>517</v>
      </c>
      <c r="B10" s="2" t="s">
        <v>518</v>
      </c>
      <c r="C10" s="2" t="s">
        <v>109</v>
      </c>
      <c r="D10" s="2" t="s">
        <v>119</v>
      </c>
      <c r="E10" s="2" t="str">
        <f ca="1">IFERROR(__xludf.DUMMYFUNCTION("GOOGLETRANSLATE(B10,""de"",""en"")"),"For the last two weeks... I have felt calm and relaxed.")</f>
        <v>For the last two weeks... I have felt calm and relaxed.</v>
      </c>
      <c r="F10" s="2" t="str">
        <f ca="1">IFERROR(__xludf.DUMMYFUNCTION("GOOGLETRANSLATE(D10,""de"",""en"")"),"['never', 'often']")</f>
        <v>['never', 'often']</v>
      </c>
    </row>
    <row r="11" spans="1:6" x14ac:dyDescent="0.2">
      <c r="A11" s="2" t="s">
        <v>519</v>
      </c>
      <c r="B11" s="2" t="s">
        <v>520</v>
      </c>
      <c r="C11" s="2" t="s">
        <v>109</v>
      </c>
      <c r="D11" s="2" t="s">
        <v>119</v>
      </c>
      <c r="E11" s="2" t="str">
        <f ca="1">IFERROR(__xludf.DUMMYFUNCTION("GOOGLETRANSLATE(B11,""de"",""en"")"),"Over the last two weeks... I have felt energetic and active.")</f>
        <v>Over the last two weeks... I have felt energetic and active.</v>
      </c>
      <c r="F11" s="2" t="str">
        <f ca="1">IFERROR(__xludf.DUMMYFUNCTION("GOOGLETRANSLATE(D11,""de"",""en"")"),"['never', 'often']")</f>
        <v>['never', 'often']</v>
      </c>
    </row>
    <row r="12" spans="1:6" x14ac:dyDescent="0.2">
      <c r="A12" s="2" t="s">
        <v>521</v>
      </c>
      <c r="B12" s="2" t="s">
        <v>522</v>
      </c>
      <c r="C12" s="2" t="s">
        <v>109</v>
      </c>
      <c r="D12" s="2" t="s">
        <v>119</v>
      </c>
      <c r="E12" s="2" t="str">
        <f ca="1">IFERROR(__xludf.DUMMYFUNCTION("GOOGLETRANSLATE(B12,""de"",""en"")"),"For the past two weeks... I have woken up feeling fresh and rested.")</f>
        <v>For the past two weeks... I have woken up feeling fresh and rested.</v>
      </c>
      <c r="F12" s="2" t="str">
        <f ca="1">IFERROR(__xludf.DUMMYFUNCTION("GOOGLETRANSLATE(D12,""de"",""en"")"),"['never', 'often']")</f>
        <v>['never', 'often']</v>
      </c>
    </row>
    <row r="13" spans="1:6" x14ac:dyDescent="0.2">
      <c r="A13" s="2" t="s">
        <v>523</v>
      </c>
      <c r="B13" s="2" t="s">
        <v>524</v>
      </c>
      <c r="C13" s="2" t="s">
        <v>109</v>
      </c>
      <c r="D13" s="2" t="s">
        <v>119</v>
      </c>
      <c r="E13" s="2" t="str">
        <f ca="1">IFERROR(__xludf.DUMMYFUNCTION("GOOGLETRANSLATE(B13,""de"",""en"")"),"In the last two weeks... my everyday life has been full of things that interest me.")</f>
        <v>In the last two weeks... my everyday life has been full of things that interest me.</v>
      </c>
      <c r="F13" s="2" t="str">
        <f ca="1">IFERROR(__xludf.DUMMYFUNCTION("GOOGLETRANSLATE(D13,""de"",""en"")"),"['never', 'often']")</f>
        <v>['never', 'often']</v>
      </c>
    </row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afb</vt:lpstr>
      <vt:lpstr>ifb</vt:lpstr>
      <vt:lpstr>mfb</vt:lpstr>
      <vt:lpstr>profile1</vt:lpstr>
      <vt:lpstr>profile2</vt:lpstr>
      <vt:lpstr>profile3</vt:lpstr>
      <vt:lpstr>profile4</vt:lpstr>
      <vt:lpstr>profile5</vt:lpstr>
      <vt:lpstr>profile6</vt:lpstr>
      <vt:lpstr>profile7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Halmich</cp:lastModifiedBy>
  <dcterms:modified xsi:type="dcterms:W3CDTF">2026-06-15T09:21:59Z</dcterms:modified>
</cp:coreProperties>
</file>